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ink/ink1.xml" ContentType="application/inkml+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c16babc96c6243eb/Desktop/my projects/"/>
    </mc:Choice>
  </mc:AlternateContent>
  <xr:revisionPtr revIDLastSave="0" documentId="8_{B7108AAA-6B1D-44F3-A3F9-D814811FA57F}" xr6:coauthVersionLast="47" xr6:coauthVersionMax="47" xr10:uidLastSave="{00000000-0000-0000-0000-000000000000}"/>
  <bookViews>
    <workbookView xWindow="20" yWindow="20" windowWidth="19180" windowHeight="10060" xr2:uid="{00000000-000D-0000-FFFF-FFFF00000000}"/>
  </bookViews>
  <sheets>
    <sheet name="Sheet4" sheetId="8" r:id="rId1"/>
    <sheet name="Dashboard" sheetId="10" r:id="rId2"/>
    <sheet name="Sales_Data" sheetId="1" r:id="rId3"/>
    <sheet name="Customers" sheetId="2" r:id="rId4"/>
    <sheet name="Products" sheetId="3" r:id="rId5"/>
    <sheet name="Tasks_and_Milestones" sheetId="4" r:id="rId6"/>
  </sheets>
  <definedNames>
    <definedName name="_xlcn.WorksheetConnection_Advanced_Excel_Data_Analyst_Practice.xlsxCuatomerstable1" hidden="1">customerstable[]</definedName>
    <definedName name="_xlcn.WorksheetConnection_Advanced_Excel_Data_Analyst_Practice.xlsxProductsTable1" hidden="1">ProductsTable[]</definedName>
    <definedName name="_xlcn.WorksheetConnection_Advanced_Excel_Data_Analyst_Practice.xlsxSALESTABLE1" hidden="1">SALESTABLE[]</definedName>
    <definedName name="Slicer_Category1">#N/A</definedName>
    <definedName name="Slicer_Region1">#N/A</definedName>
    <definedName name="Slicer_Revenue">#N/A</definedName>
    <definedName name="Slicer_Segment">#N/A</definedName>
  </definedNames>
  <calcPr calcId="191028"/>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pivotCache cacheId="7"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TABLE" name="SALESTABLE" connection="WorksheetConnection_Advanced_Excel_Data_Analyst_Practice.xlsx!SALESTABLE"/>
          <x15:modelTable id="ProductsTable" name="ProductsTable" connection="WorksheetConnection_Advanced_Excel_Data_Analyst_Practice.xlsx!ProductsTable"/>
          <x15:modelTable id="Cuatomerstable" name="Cuatomerstable" connection="WorksheetConnection_Advanced_Excel_Data_Analyst_Practice.xlsx!Cuatomerstable"/>
        </x15:modelTables>
        <x15:modelRelationships>
          <x15:modelRelationship fromTable="SALESTABLE" fromColumn="Product_ID" toTable="ProductsTable" toColumn="Product_ID"/>
          <x15:modelRelationship fromTable="SALESTABLE" fromColumn="Customer_ID" toTable="Cuatomerstable" toColumn="Customer_ID"/>
        </x15:modelRelationships>
        <x15:extLst>
          <ext xmlns:x16="http://schemas.microsoft.com/office/spreadsheetml/2014/11/main" uri="{9835A34E-60A6-4A7C-AAB8-D5F71C897F49}">
            <x16:modelTimeGroupings>
              <x16:modelTimeGrouping tableName="Cuatomerstable" columnName="Signup_Date" columnId="Signup_Date">
                <x16:calculatedTimeColumn columnName="Signup_Date (Year)" columnId="Signup_Date (Year)" contentType="years" isSelected="1"/>
                <x16:calculatedTimeColumn columnName="Signup_Date (Quarter)" columnId="Signup_Date (Quarter)" contentType="quarters" isSelected="1"/>
                <x16:calculatedTimeColumn columnName="Signup_Date (Month Index)" columnId="Signup_Date (Month Index)" contentType="monthsindex" isSelected="1"/>
                <x16:calculatedTimeColumn columnName="Signup_Date (Month)" columnId="Signup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01" i="1" l="1"/>
  <c r="I1001" i="1"/>
  <c r="H1001" i="1"/>
  <c r="H1001" i="1" a="1"/>
  <c r="G1001" i="1"/>
  <c r="G1001" i="1" a="1"/>
  <c r="J1000" i="1"/>
  <c r="I1000" i="1"/>
  <c r="H1000" i="1"/>
  <c r="H1000" i="1" a="1"/>
  <c r="G1000" i="1"/>
  <c r="G1000" i="1" a="1"/>
  <c r="J999" i="1"/>
  <c r="I999" i="1"/>
  <c r="H999" i="1"/>
  <c r="H999" i="1" a="1"/>
  <c r="G999" i="1"/>
  <c r="G999" i="1" a="1"/>
  <c r="J998" i="1"/>
  <c r="I998" i="1"/>
  <c r="H998" i="1"/>
  <c r="H998" i="1" a="1"/>
  <c r="G998" i="1"/>
  <c r="G998" i="1" a="1"/>
  <c r="J997" i="1"/>
  <c r="I997" i="1"/>
  <c r="H997" i="1"/>
  <c r="H997" i="1" a="1"/>
  <c r="G997" i="1"/>
  <c r="G997" i="1" a="1"/>
  <c r="J996" i="1"/>
  <c r="I996" i="1"/>
  <c r="H996" i="1"/>
  <c r="H996" i="1" a="1"/>
  <c r="G996" i="1"/>
  <c r="G996" i="1" a="1"/>
  <c r="J995" i="1"/>
  <c r="I995" i="1"/>
  <c r="H995" i="1"/>
  <c r="H995" i="1" a="1"/>
  <c r="G995" i="1"/>
  <c r="G995" i="1" a="1"/>
  <c r="J994" i="1"/>
  <c r="I994" i="1"/>
  <c r="H994" i="1"/>
  <c r="H994" i="1" a="1"/>
  <c r="G994" i="1"/>
  <c r="G994" i="1" a="1"/>
  <c r="J993" i="1"/>
  <c r="I993" i="1"/>
  <c r="H993" i="1"/>
  <c r="H993" i="1" a="1"/>
  <c r="G993" i="1"/>
  <c r="G993" i="1" a="1"/>
  <c r="J992" i="1"/>
  <c r="I992" i="1"/>
  <c r="H992" i="1"/>
  <c r="H992" i="1" a="1"/>
  <c r="G992" i="1"/>
  <c r="G992" i="1" a="1"/>
  <c r="J991" i="1"/>
  <c r="I991" i="1"/>
  <c r="H991" i="1"/>
  <c r="H991" i="1" a="1"/>
  <c r="G991" i="1"/>
  <c r="G991" i="1" a="1"/>
  <c r="J990" i="1"/>
  <c r="I990" i="1"/>
  <c r="H990" i="1"/>
  <c r="H990" i="1" a="1"/>
  <c r="G990" i="1"/>
  <c r="G990" i="1" a="1"/>
  <c r="J989" i="1"/>
  <c r="I989" i="1"/>
  <c r="H989" i="1"/>
  <c r="H989" i="1" a="1"/>
  <c r="G989" i="1"/>
  <c r="G989" i="1" a="1"/>
  <c r="J988" i="1"/>
  <c r="I988" i="1"/>
  <c r="H988" i="1"/>
  <c r="H988" i="1" a="1"/>
  <c r="G988" i="1"/>
  <c r="G988" i="1" a="1"/>
  <c r="J987" i="1"/>
  <c r="I987" i="1"/>
  <c r="H987" i="1"/>
  <c r="H987" i="1" a="1"/>
  <c r="G987" i="1"/>
  <c r="G987" i="1" a="1"/>
  <c r="J986" i="1"/>
  <c r="I986" i="1"/>
  <c r="H986" i="1"/>
  <c r="H986" i="1" a="1"/>
  <c r="G986" i="1"/>
  <c r="G986" i="1" a="1"/>
  <c r="J985" i="1"/>
  <c r="I985" i="1"/>
  <c r="H985" i="1"/>
  <c r="H985" i="1" a="1"/>
  <c r="G985" i="1"/>
  <c r="G985" i="1" a="1"/>
  <c r="J984" i="1"/>
  <c r="I984" i="1"/>
  <c r="H984" i="1"/>
  <c r="H984" i="1" a="1"/>
  <c r="G984" i="1"/>
  <c r="G984" i="1" a="1"/>
  <c r="J983" i="1"/>
  <c r="I983" i="1"/>
  <c r="H983" i="1"/>
  <c r="H983" i="1" a="1"/>
  <c r="G983" i="1"/>
  <c r="G983" i="1" a="1"/>
  <c r="J982" i="1"/>
  <c r="I982" i="1"/>
  <c r="H982" i="1"/>
  <c r="H982" i="1" a="1"/>
  <c r="G982" i="1"/>
  <c r="G982" i="1" a="1"/>
  <c r="J981" i="1"/>
  <c r="I981" i="1"/>
  <c r="H981" i="1"/>
  <c r="H981" i="1" a="1"/>
  <c r="G981" i="1"/>
  <c r="G981" i="1" a="1"/>
  <c r="J980" i="1"/>
  <c r="I980" i="1"/>
  <c r="H980" i="1"/>
  <c r="H980" i="1" a="1"/>
  <c r="G980" i="1"/>
  <c r="G980" i="1" a="1"/>
  <c r="J979" i="1"/>
  <c r="I979" i="1"/>
  <c r="H979" i="1"/>
  <c r="H979" i="1" a="1"/>
  <c r="G979" i="1"/>
  <c r="G979" i="1" a="1"/>
  <c r="J978" i="1"/>
  <c r="I978" i="1"/>
  <c r="H978" i="1"/>
  <c r="H978" i="1" a="1"/>
  <c r="G978" i="1"/>
  <c r="G978" i="1" a="1"/>
  <c r="J977" i="1"/>
  <c r="I977" i="1"/>
  <c r="H977" i="1"/>
  <c r="H977" i="1" a="1"/>
  <c r="G977" i="1"/>
  <c r="G977" i="1" a="1"/>
  <c r="J976" i="1"/>
  <c r="I976" i="1"/>
  <c r="H976" i="1"/>
  <c r="H976" i="1" a="1"/>
  <c r="G976" i="1"/>
  <c r="G976" i="1" a="1"/>
  <c r="J975" i="1"/>
  <c r="I975" i="1"/>
  <c r="H975" i="1"/>
  <c r="H975" i="1" a="1"/>
  <c r="G975" i="1"/>
  <c r="G975" i="1" a="1"/>
  <c r="J974" i="1"/>
  <c r="I974" i="1"/>
  <c r="H974" i="1"/>
  <c r="H974" i="1" a="1"/>
  <c r="G974" i="1"/>
  <c r="G974" i="1" a="1"/>
  <c r="J973" i="1"/>
  <c r="I973" i="1"/>
  <c r="H973" i="1"/>
  <c r="H973" i="1" a="1"/>
  <c r="G973" i="1"/>
  <c r="G973" i="1" a="1"/>
  <c r="J972" i="1"/>
  <c r="I972" i="1"/>
  <c r="H972" i="1"/>
  <c r="H972" i="1" a="1"/>
  <c r="G972" i="1"/>
  <c r="G972" i="1" a="1"/>
  <c r="J971" i="1"/>
  <c r="I971" i="1"/>
  <c r="H971" i="1"/>
  <c r="H971" i="1" a="1"/>
  <c r="G971" i="1"/>
  <c r="G971" i="1" a="1"/>
  <c r="J970" i="1"/>
  <c r="I970" i="1"/>
  <c r="H970" i="1"/>
  <c r="H970" i="1" a="1"/>
  <c r="G970" i="1"/>
  <c r="G970" i="1" a="1"/>
  <c r="J969" i="1"/>
  <c r="I969" i="1"/>
  <c r="H969" i="1"/>
  <c r="H969" i="1" a="1"/>
  <c r="G969" i="1"/>
  <c r="G969" i="1" a="1"/>
  <c r="J968" i="1"/>
  <c r="I968" i="1"/>
  <c r="H968" i="1"/>
  <c r="H968" i="1" a="1"/>
  <c r="G968" i="1"/>
  <c r="G968" i="1" a="1"/>
  <c r="J967" i="1"/>
  <c r="I967" i="1"/>
  <c r="H967" i="1"/>
  <c r="H967" i="1" a="1"/>
  <c r="G967" i="1"/>
  <c r="G967" i="1" a="1"/>
  <c r="J966" i="1"/>
  <c r="I966" i="1"/>
  <c r="H966" i="1"/>
  <c r="H966" i="1" a="1"/>
  <c r="G966" i="1"/>
  <c r="G966" i="1" a="1"/>
  <c r="J965" i="1"/>
  <c r="I965" i="1"/>
  <c r="H965" i="1"/>
  <c r="H965" i="1" a="1"/>
  <c r="G965" i="1"/>
  <c r="G965" i="1" a="1"/>
  <c r="J964" i="1"/>
  <c r="I964" i="1"/>
  <c r="H964" i="1"/>
  <c r="H964" i="1" a="1"/>
  <c r="G964" i="1"/>
  <c r="G964" i="1" a="1"/>
  <c r="J963" i="1"/>
  <c r="I963" i="1"/>
  <c r="H963" i="1"/>
  <c r="H963" i="1" a="1"/>
  <c r="G963" i="1"/>
  <c r="G963" i="1" a="1"/>
  <c r="J962" i="1"/>
  <c r="I962" i="1"/>
  <c r="H962" i="1"/>
  <c r="H962" i="1" a="1"/>
  <c r="G962" i="1"/>
  <c r="G962" i="1" a="1"/>
  <c r="J961" i="1"/>
  <c r="I961" i="1"/>
  <c r="H961" i="1"/>
  <c r="H961" i="1" a="1"/>
  <c r="G961" i="1"/>
  <c r="G961" i="1" a="1"/>
  <c r="J960" i="1"/>
  <c r="I960" i="1"/>
  <c r="H960" i="1"/>
  <c r="H960" i="1" a="1"/>
  <c r="G960" i="1"/>
  <c r="G960" i="1" a="1"/>
  <c r="J959" i="1"/>
  <c r="I959" i="1"/>
  <c r="H959" i="1"/>
  <c r="H959" i="1" a="1"/>
  <c r="G959" i="1"/>
  <c r="G959" i="1" a="1"/>
  <c r="J958" i="1"/>
  <c r="I958" i="1"/>
  <c r="H958" i="1"/>
  <c r="H958" i="1" a="1"/>
  <c r="G958" i="1"/>
  <c r="G958" i="1" a="1"/>
  <c r="J957" i="1"/>
  <c r="I957" i="1"/>
  <c r="H957" i="1"/>
  <c r="H957" i="1" a="1"/>
  <c r="G957" i="1"/>
  <c r="G957" i="1" a="1"/>
  <c r="J956" i="1"/>
  <c r="I956" i="1"/>
  <c r="H956" i="1"/>
  <c r="H956" i="1" a="1"/>
  <c r="G956" i="1"/>
  <c r="G956" i="1" a="1"/>
  <c r="J955" i="1"/>
  <c r="I955" i="1"/>
  <c r="H955" i="1"/>
  <c r="H955" i="1" a="1"/>
  <c r="G955" i="1"/>
  <c r="G955" i="1" a="1"/>
  <c r="J954" i="1"/>
  <c r="I954" i="1"/>
  <c r="H954" i="1"/>
  <c r="H954" i="1" a="1"/>
  <c r="G954" i="1"/>
  <c r="G954" i="1" a="1"/>
  <c r="J953" i="1"/>
  <c r="I953" i="1"/>
  <c r="H953" i="1"/>
  <c r="H953" i="1" a="1"/>
  <c r="G953" i="1"/>
  <c r="G953" i="1" a="1"/>
  <c r="J952" i="1"/>
  <c r="I952" i="1"/>
  <c r="H952" i="1"/>
  <c r="H952" i="1" a="1"/>
  <c r="G952" i="1"/>
  <c r="G952" i="1" a="1"/>
  <c r="J951" i="1"/>
  <c r="I951" i="1"/>
  <c r="H951" i="1"/>
  <c r="H951" i="1" a="1"/>
  <c r="G951" i="1"/>
  <c r="G951" i="1" a="1"/>
  <c r="J950" i="1"/>
  <c r="I950" i="1"/>
  <c r="H950" i="1"/>
  <c r="H950" i="1" a="1"/>
  <c r="G950" i="1"/>
  <c r="G950" i="1" a="1"/>
  <c r="J949" i="1"/>
  <c r="I949" i="1"/>
  <c r="H949" i="1"/>
  <c r="H949" i="1" a="1"/>
  <c r="G949" i="1"/>
  <c r="G949" i="1" a="1"/>
  <c r="J948" i="1"/>
  <c r="I948" i="1"/>
  <c r="H948" i="1"/>
  <c r="H948" i="1" a="1"/>
  <c r="G948" i="1"/>
  <c r="G948" i="1" a="1"/>
  <c r="J947" i="1"/>
  <c r="I947" i="1"/>
  <c r="H947" i="1"/>
  <c r="H947" i="1" a="1"/>
  <c r="G947" i="1"/>
  <c r="G947" i="1" a="1"/>
  <c r="J946" i="1"/>
  <c r="I946" i="1"/>
  <c r="H946" i="1"/>
  <c r="H946" i="1" a="1"/>
  <c r="G946" i="1"/>
  <c r="G946" i="1" a="1"/>
  <c r="J945" i="1"/>
  <c r="I945" i="1"/>
  <c r="H945" i="1"/>
  <c r="H945" i="1" a="1"/>
  <c r="G945" i="1"/>
  <c r="G945" i="1" a="1"/>
  <c r="J944" i="1"/>
  <c r="I944" i="1"/>
  <c r="H944" i="1"/>
  <c r="H944" i="1" a="1"/>
  <c r="G944" i="1"/>
  <c r="G944" i="1" a="1"/>
  <c r="J943" i="1"/>
  <c r="I943" i="1"/>
  <c r="H943" i="1"/>
  <c r="H943" i="1" a="1"/>
  <c r="G943" i="1"/>
  <c r="G943" i="1" a="1"/>
  <c r="J942" i="1"/>
  <c r="I942" i="1"/>
  <c r="H942" i="1"/>
  <c r="H942" i="1" a="1"/>
  <c r="G942" i="1"/>
  <c r="G942" i="1" a="1"/>
  <c r="J941" i="1"/>
  <c r="I941" i="1"/>
  <c r="H941" i="1"/>
  <c r="H941" i="1" a="1"/>
  <c r="G941" i="1"/>
  <c r="G941" i="1" a="1"/>
  <c r="J940" i="1"/>
  <c r="I940" i="1"/>
  <c r="H940" i="1"/>
  <c r="H940" i="1" a="1"/>
  <c r="G940" i="1"/>
  <c r="G940" i="1" a="1"/>
  <c r="J939" i="1"/>
  <c r="I939" i="1"/>
  <c r="H939" i="1"/>
  <c r="H939" i="1" a="1"/>
  <c r="G939" i="1"/>
  <c r="G939" i="1" a="1"/>
  <c r="J938" i="1"/>
  <c r="I938" i="1"/>
  <c r="H938" i="1"/>
  <c r="H938" i="1" a="1"/>
  <c r="G938" i="1"/>
  <c r="G938" i="1" a="1"/>
  <c r="J937" i="1"/>
  <c r="I937" i="1"/>
  <c r="H937" i="1"/>
  <c r="H937" i="1" a="1"/>
  <c r="G937" i="1"/>
  <c r="G937" i="1" a="1"/>
  <c r="J936" i="1"/>
  <c r="I936" i="1"/>
  <c r="H936" i="1"/>
  <c r="H936" i="1" a="1"/>
  <c r="G936" i="1"/>
  <c r="G936" i="1" a="1"/>
  <c r="J935" i="1"/>
  <c r="I935" i="1"/>
  <c r="H935" i="1"/>
  <c r="H935" i="1" a="1"/>
  <c r="G935" i="1"/>
  <c r="G935" i="1" a="1"/>
  <c r="J934" i="1"/>
  <c r="I934" i="1"/>
  <c r="H934" i="1"/>
  <c r="H934" i="1" a="1"/>
  <c r="G934" i="1"/>
  <c r="G934" i="1" a="1"/>
  <c r="J933" i="1"/>
  <c r="I933" i="1"/>
  <c r="H933" i="1"/>
  <c r="H933" i="1" a="1"/>
  <c r="G933" i="1"/>
  <c r="G933" i="1" a="1"/>
  <c r="J932" i="1"/>
  <c r="I932" i="1"/>
  <c r="H932" i="1"/>
  <c r="H932" i="1" a="1"/>
  <c r="G932" i="1"/>
  <c r="G932" i="1" a="1"/>
  <c r="J931" i="1"/>
  <c r="I931" i="1"/>
  <c r="H931" i="1"/>
  <c r="H931" i="1" a="1"/>
  <c r="G931" i="1"/>
  <c r="G931" i="1" a="1"/>
  <c r="J930" i="1"/>
  <c r="I930" i="1"/>
  <c r="H930" i="1"/>
  <c r="H930" i="1" a="1"/>
  <c r="G930" i="1"/>
  <c r="G930" i="1" a="1"/>
  <c r="J929" i="1"/>
  <c r="I929" i="1"/>
  <c r="H929" i="1"/>
  <c r="H929" i="1" a="1"/>
  <c r="G929" i="1"/>
  <c r="G929" i="1" a="1"/>
  <c r="J928" i="1"/>
  <c r="I928" i="1"/>
  <c r="H928" i="1"/>
  <c r="H928" i="1" a="1"/>
  <c r="G928" i="1"/>
  <c r="G928" i="1" a="1"/>
  <c r="J927" i="1"/>
  <c r="I927" i="1"/>
  <c r="H927" i="1"/>
  <c r="H927" i="1" a="1"/>
  <c r="G927" i="1"/>
  <c r="G927" i="1" a="1"/>
  <c r="J926" i="1"/>
  <c r="I926" i="1"/>
  <c r="H926" i="1"/>
  <c r="H926" i="1" a="1"/>
  <c r="G926" i="1"/>
  <c r="G926" i="1" a="1"/>
  <c r="J925" i="1"/>
  <c r="I925" i="1"/>
  <c r="H925" i="1"/>
  <c r="H925" i="1" a="1"/>
  <c r="G925" i="1"/>
  <c r="G925" i="1" a="1"/>
  <c r="J924" i="1"/>
  <c r="I924" i="1"/>
  <c r="H924" i="1"/>
  <c r="H924" i="1" a="1"/>
  <c r="G924" i="1"/>
  <c r="G924" i="1" a="1"/>
  <c r="J923" i="1"/>
  <c r="I923" i="1"/>
  <c r="H923" i="1"/>
  <c r="H923" i="1" a="1"/>
  <c r="G923" i="1"/>
  <c r="G923" i="1" a="1"/>
  <c r="J922" i="1"/>
  <c r="I922" i="1"/>
  <c r="H922" i="1"/>
  <c r="H922" i="1" a="1"/>
  <c r="G922" i="1"/>
  <c r="G922" i="1" a="1"/>
  <c r="J921" i="1"/>
  <c r="I921" i="1"/>
  <c r="H921" i="1"/>
  <c r="H921" i="1" a="1"/>
  <c r="G921" i="1"/>
  <c r="G921" i="1" a="1"/>
  <c r="J920" i="1"/>
  <c r="I920" i="1"/>
  <c r="H920" i="1"/>
  <c r="H920" i="1" a="1"/>
  <c r="G920" i="1"/>
  <c r="G920" i="1" a="1"/>
  <c r="J919" i="1"/>
  <c r="I919" i="1"/>
  <c r="H919" i="1"/>
  <c r="H919" i="1" a="1"/>
  <c r="G919" i="1"/>
  <c r="G919" i="1" a="1"/>
  <c r="J918" i="1"/>
  <c r="I918" i="1"/>
  <c r="H918" i="1"/>
  <c r="H918" i="1" a="1"/>
  <c r="G918" i="1"/>
  <c r="G918" i="1" a="1"/>
  <c r="J917" i="1"/>
  <c r="I917" i="1"/>
  <c r="H917" i="1"/>
  <c r="H917" i="1" a="1"/>
  <c r="G917" i="1"/>
  <c r="G917" i="1" a="1"/>
  <c r="J916" i="1"/>
  <c r="I916" i="1"/>
  <c r="H916" i="1"/>
  <c r="H916" i="1" a="1"/>
  <c r="G916" i="1"/>
  <c r="G916" i="1" a="1"/>
  <c r="J915" i="1"/>
  <c r="I915" i="1"/>
  <c r="H915" i="1"/>
  <c r="H915" i="1" a="1"/>
  <c r="G915" i="1"/>
  <c r="G915" i="1" a="1"/>
  <c r="J914" i="1"/>
  <c r="I914" i="1"/>
  <c r="H914" i="1"/>
  <c r="H914" i="1" a="1"/>
  <c r="G914" i="1"/>
  <c r="G914" i="1" a="1"/>
  <c r="J913" i="1"/>
  <c r="I913" i="1"/>
  <c r="H913" i="1"/>
  <c r="H913" i="1" a="1"/>
  <c r="G913" i="1"/>
  <c r="G913" i="1" a="1"/>
  <c r="J912" i="1"/>
  <c r="I912" i="1"/>
  <c r="H912" i="1"/>
  <c r="H912" i="1" a="1"/>
  <c r="G912" i="1"/>
  <c r="G912" i="1" a="1"/>
  <c r="J911" i="1"/>
  <c r="I911" i="1"/>
  <c r="H911" i="1"/>
  <c r="H911" i="1" a="1"/>
  <c r="G911" i="1"/>
  <c r="G911" i="1" a="1"/>
  <c r="J910" i="1"/>
  <c r="I910" i="1"/>
  <c r="H910" i="1"/>
  <c r="H910" i="1" a="1"/>
  <c r="G910" i="1"/>
  <c r="G910" i="1" a="1"/>
  <c r="J909" i="1"/>
  <c r="I909" i="1"/>
  <c r="H909" i="1"/>
  <c r="H909" i="1" a="1"/>
  <c r="G909" i="1"/>
  <c r="G909" i="1" a="1"/>
  <c r="J908" i="1"/>
  <c r="I908" i="1"/>
  <c r="H908" i="1"/>
  <c r="H908" i="1" a="1"/>
  <c r="G908" i="1"/>
  <c r="G908" i="1" a="1"/>
  <c r="J907" i="1"/>
  <c r="I907" i="1"/>
  <c r="H907" i="1"/>
  <c r="H907" i="1" a="1"/>
  <c r="G907" i="1"/>
  <c r="G907" i="1" a="1"/>
  <c r="J906" i="1"/>
  <c r="I906" i="1"/>
  <c r="H906" i="1"/>
  <c r="H906" i="1" a="1"/>
  <c r="G906" i="1"/>
  <c r="G906" i="1" a="1"/>
  <c r="J905" i="1"/>
  <c r="I905" i="1"/>
  <c r="H905" i="1"/>
  <c r="H905" i="1" a="1"/>
  <c r="G905" i="1"/>
  <c r="G905" i="1" a="1"/>
  <c r="J904" i="1"/>
  <c r="I904" i="1"/>
  <c r="H904" i="1"/>
  <c r="H904" i="1" a="1"/>
  <c r="G904" i="1"/>
  <c r="G904" i="1" a="1"/>
  <c r="J903" i="1"/>
  <c r="I903" i="1"/>
  <c r="H903" i="1"/>
  <c r="H903" i="1" a="1"/>
  <c r="G903" i="1"/>
  <c r="G903" i="1" a="1"/>
  <c r="J902" i="1"/>
  <c r="I902" i="1"/>
  <c r="H902" i="1"/>
  <c r="H902" i="1" a="1"/>
  <c r="G902" i="1"/>
  <c r="G902" i="1" a="1"/>
  <c r="J901" i="1"/>
  <c r="I901" i="1"/>
  <c r="H901" i="1"/>
  <c r="H901" i="1" a="1"/>
  <c r="G901" i="1"/>
  <c r="G901" i="1" a="1"/>
  <c r="J900" i="1"/>
  <c r="I900" i="1"/>
  <c r="H900" i="1"/>
  <c r="H900" i="1" a="1"/>
  <c r="G900" i="1"/>
  <c r="G900" i="1" a="1"/>
  <c r="J899" i="1"/>
  <c r="I899" i="1"/>
  <c r="H899" i="1"/>
  <c r="H899" i="1" a="1"/>
  <c r="G899" i="1"/>
  <c r="G899" i="1" a="1"/>
  <c r="J898" i="1"/>
  <c r="I898" i="1"/>
  <c r="H898" i="1"/>
  <c r="H898" i="1" a="1"/>
  <c r="G898" i="1"/>
  <c r="G898" i="1" a="1"/>
  <c r="J897" i="1"/>
  <c r="I897" i="1"/>
  <c r="H897" i="1"/>
  <c r="H897" i="1" a="1"/>
  <c r="G897" i="1"/>
  <c r="G897" i="1" a="1"/>
  <c r="J896" i="1"/>
  <c r="I896" i="1"/>
  <c r="H896" i="1"/>
  <c r="H896" i="1" a="1"/>
  <c r="G896" i="1"/>
  <c r="G896" i="1" a="1"/>
  <c r="J895" i="1"/>
  <c r="I895" i="1"/>
  <c r="H895" i="1"/>
  <c r="H895" i="1" a="1"/>
  <c r="G895" i="1"/>
  <c r="G895" i="1" a="1"/>
  <c r="J894" i="1"/>
  <c r="I894" i="1"/>
  <c r="H894" i="1"/>
  <c r="H894" i="1" a="1"/>
  <c r="G894" i="1"/>
  <c r="G894" i="1" a="1"/>
  <c r="J893" i="1"/>
  <c r="I893" i="1"/>
  <c r="H893" i="1"/>
  <c r="H893" i="1" a="1"/>
  <c r="G893" i="1"/>
  <c r="G893" i="1" a="1"/>
  <c r="J892" i="1"/>
  <c r="I892" i="1"/>
  <c r="H892" i="1"/>
  <c r="H892" i="1" a="1"/>
  <c r="G892" i="1"/>
  <c r="G892" i="1" a="1"/>
  <c r="J891" i="1"/>
  <c r="I891" i="1"/>
  <c r="H891" i="1"/>
  <c r="H891" i="1" a="1"/>
  <c r="G891" i="1"/>
  <c r="G891" i="1" a="1"/>
  <c r="J890" i="1"/>
  <c r="I890" i="1"/>
  <c r="H890" i="1"/>
  <c r="H890" i="1" a="1"/>
  <c r="G890" i="1"/>
  <c r="G890" i="1" a="1"/>
  <c r="J889" i="1"/>
  <c r="I889" i="1"/>
  <c r="H889" i="1"/>
  <c r="H889" i="1" a="1"/>
  <c r="G889" i="1"/>
  <c r="G889" i="1" a="1"/>
  <c r="J888" i="1"/>
  <c r="I888" i="1"/>
  <c r="H888" i="1"/>
  <c r="H888" i="1" a="1"/>
  <c r="G888" i="1"/>
  <c r="G888" i="1" a="1"/>
  <c r="J887" i="1"/>
  <c r="I887" i="1"/>
  <c r="H887" i="1"/>
  <c r="H887" i="1" a="1"/>
  <c r="G887" i="1"/>
  <c r="G887" i="1" a="1"/>
  <c r="J886" i="1"/>
  <c r="I886" i="1"/>
  <c r="H886" i="1"/>
  <c r="H886" i="1" a="1"/>
  <c r="G886" i="1"/>
  <c r="G886" i="1" a="1"/>
  <c r="J885" i="1"/>
  <c r="I885" i="1"/>
  <c r="H885" i="1"/>
  <c r="H885" i="1" a="1"/>
  <c r="G885" i="1"/>
  <c r="G885" i="1" a="1"/>
  <c r="J884" i="1"/>
  <c r="I884" i="1"/>
  <c r="H884" i="1"/>
  <c r="H884" i="1" a="1"/>
  <c r="G884" i="1"/>
  <c r="G884" i="1" a="1"/>
  <c r="J883" i="1"/>
  <c r="I883" i="1"/>
  <c r="H883" i="1"/>
  <c r="H883" i="1" a="1"/>
  <c r="G883" i="1"/>
  <c r="G883" i="1" a="1"/>
  <c r="J882" i="1"/>
  <c r="I882" i="1"/>
  <c r="H882" i="1"/>
  <c r="H882" i="1" a="1"/>
  <c r="G882" i="1"/>
  <c r="G882" i="1" a="1"/>
  <c r="J881" i="1"/>
  <c r="I881" i="1"/>
  <c r="H881" i="1"/>
  <c r="H881" i="1" a="1"/>
  <c r="G881" i="1"/>
  <c r="G881" i="1" a="1"/>
  <c r="J880" i="1"/>
  <c r="I880" i="1"/>
  <c r="H880" i="1"/>
  <c r="H880" i="1" a="1"/>
  <c r="G880" i="1"/>
  <c r="G880" i="1" a="1"/>
  <c r="J879" i="1"/>
  <c r="I879" i="1"/>
  <c r="H879" i="1"/>
  <c r="H879" i="1" a="1"/>
  <c r="G879" i="1"/>
  <c r="G879" i="1" a="1"/>
  <c r="J878" i="1"/>
  <c r="I878" i="1"/>
  <c r="H878" i="1"/>
  <c r="H878" i="1" a="1"/>
  <c r="G878" i="1"/>
  <c r="G878" i="1" a="1"/>
  <c r="J877" i="1"/>
  <c r="I877" i="1"/>
  <c r="H877" i="1"/>
  <c r="H877" i="1" a="1"/>
  <c r="G877" i="1"/>
  <c r="G877" i="1" a="1"/>
  <c r="J876" i="1"/>
  <c r="I876" i="1"/>
  <c r="H876" i="1"/>
  <c r="H876" i="1" a="1"/>
  <c r="G876" i="1"/>
  <c r="G876" i="1" a="1"/>
  <c r="J875" i="1"/>
  <c r="I875" i="1"/>
  <c r="H875" i="1"/>
  <c r="H875" i="1" a="1"/>
  <c r="G875" i="1"/>
  <c r="G875" i="1" a="1"/>
  <c r="J874" i="1"/>
  <c r="I874" i="1"/>
  <c r="H874" i="1"/>
  <c r="H874" i="1" a="1"/>
  <c r="G874" i="1"/>
  <c r="G874" i="1" a="1"/>
  <c r="J873" i="1"/>
  <c r="I873" i="1"/>
  <c r="H873" i="1"/>
  <c r="H873" i="1" a="1"/>
  <c r="G873" i="1"/>
  <c r="G873" i="1" a="1"/>
  <c r="J872" i="1"/>
  <c r="I872" i="1"/>
  <c r="H872" i="1"/>
  <c r="H872" i="1" a="1"/>
  <c r="G872" i="1"/>
  <c r="G872" i="1" a="1"/>
  <c r="J871" i="1"/>
  <c r="I871" i="1"/>
  <c r="H871" i="1"/>
  <c r="H871" i="1" a="1"/>
  <c r="G871" i="1"/>
  <c r="G871" i="1" a="1"/>
  <c r="J870" i="1"/>
  <c r="I870" i="1"/>
  <c r="H870" i="1"/>
  <c r="H870" i="1" a="1"/>
  <c r="G870" i="1"/>
  <c r="G870" i="1" a="1"/>
  <c r="J869" i="1"/>
  <c r="I869" i="1"/>
  <c r="H869" i="1"/>
  <c r="H869" i="1" a="1"/>
  <c r="G869" i="1"/>
  <c r="G869" i="1" a="1"/>
  <c r="J868" i="1"/>
  <c r="I868" i="1"/>
  <c r="H868" i="1"/>
  <c r="H868" i="1" a="1"/>
  <c r="G868" i="1"/>
  <c r="G868" i="1" a="1"/>
  <c r="J867" i="1"/>
  <c r="I867" i="1"/>
  <c r="H867" i="1"/>
  <c r="H867" i="1" a="1"/>
  <c r="G867" i="1"/>
  <c r="G867" i="1" a="1"/>
  <c r="J866" i="1"/>
  <c r="I866" i="1"/>
  <c r="H866" i="1"/>
  <c r="H866" i="1" a="1"/>
  <c r="G866" i="1"/>
  <c r="G866" i="1" a="1"/>
  <c r="J865" i="1"/>
  <c r="I865" i="1"/>
  <c r="H865" i="1"/>
  <c r="H865" i="1" a="1"/>
  <c r="G865" i="1"/>
  <c r="G865" i="1" a="1"/>
  <c r="J864" i="1"/>
  <c r="I864" i="1"/>
  <c r="H864" i="1"/>
  <c r="H864" i="1" a="1"/>
  <c r="G864" i="1"/>
  <c r="G864" i="1" a="1"/>
  <c r="J863" i="1"/>
  <c r="I863" i="1"/>
  <c r="H863" i="1"/>
  <c r="H863" i="1" a="1"/>
  <c r="G863" i="1"/>
  <c r="G863" i="1" a="1"/>
  <c r="J862" i="1"/>
  <c r="I862" i="1"/>
  <c r="H862" i="1"/>
  <c r="H862" i="1" a="1"/>
  <c r="G862" i="1"/>
  <c r="G862" i="1" a="1"/>
  <c r="J861" i="1"/>
  <c r="I861" i="1"/>
  <c r="H861" i="1"/>
  <c r="H861" i="1" a="1"/>
  <c r="G861" i="1"/>
  <c r="G861" i="1" a="1"/>
  <c r="J860" i="1"/>
  <c r="I860" i="1"/>
  <c r="H860" i="1"/>
  <c r="H860" i="1" a="1"/>
  <c r="G860" i="1"/>
  <c r="G860" i="1" a="1"/>
  <c r="J859" i="1"/>
  <c r="I859" i="1"/>
  <c r="H859" i="1"/>
  <c r="H859" i="1" a="1"/>
  <c r="G859" i="1"/>
  <c r="G859" i="1" a="1"/>
  <c r="J858" i="1"/>
  <c r="I858" i="1"/>
  <c r="H858" i="1"/>
  <c r="H858" i="1" a="1"/>
  <c r="G858" i="1"/>
  <c r="G858" i="1" a="1"/>
  <c r="J857" i="1"/>
  <c r="I857" i="1"/>
  <c r="H857" i="1"/>
  <c r="H857" i="1" a="1"/>
  <c r="G857" i="1"/>
  <c r="G857" i="1" a="1"/>
  <c r="J856" i="1"/>
  <c r="I856" i="1"/>
  <c r="H856" i="1"/>
  <c r="H856" i="1" a="1"/>
  <c r="G856" i="1"/>
  <c r="G856" i="1" a="1"/>
  <c r="J855" i="1"/>
  <c r="I855" i="1"/>
  <c r="H855" i="1"/>
  <c r="H855" i="1" a="1"/>
  <c r="G855" i="1"/>
  <c r="G855" i="1" a="1"/>
  <c r="J854" i="1"/>
  <c r="I854" i="1"/>
  <c r="H854" i="1"/>
  <c r="H854" i="1" a="1"/>
  <c r="G854" i="1"/>
  <c r="G854" i="1" a="1"/>
  <c r="J853" i="1"/>
  <c r="I853" i="1"/>
  <c r="H853" i="1"/>
  <c r="H853" i="1" a="1"/>
  <c r="G853" i="1"/>
  <c r="G853" i="1" a="1"/>
  <c r="J852" i="1"/>
  <c r="I852" i="1"/>
  <c r="H852" i="1"/>
  <c r="H852" i="1" a="1"/>
  <c r="G852" i="1"/>
  <c r="G852" i="1" a="1"/>
  <c r="J851" i="1"/>
  <c r="I851" i="1"/>
  <c r="H851" i="1"/>
  <c r="H851" i="1" a="1"/>
  <c r="G851" i="1"/>
  <c r="G851" i="1" a="1"/>
  <c r="J850" i="1"/>
  <c r="I850" i="1"/>
  <c r="H850" i="1"/>
  <c r="H850" i="1" a="1"/>
  <c r="G850" i="1"/>
  <c r="G850" i="1" a="1"/>
  <c r="J849" i="1"/>
  <c r="I849" i="1"/>
  <c r="H849" i="1"/>
  <c r="H849" i="1" a="1"/>
  <c r="G849" i="1"/>
  <c r="G849" i="1" a="1"/>
  <c r="J848" i="1"/>
  <c r="I848" i="1"/>
  <c r="H848" i="1"/>
  <c r="H848" i="1" a="1"/>
  <c r="G848" i="1"/>
  <c r="G848" i="1" a="1"/>
  <c r="J847" i="1"/>
  <c r="I847" i="1"/>
  <c r="H847" i="1"/>
  <c r="H847" i="1" a="1"/>
  <c r="G847" i="1"/>
  <c r="G847" i="1" a="1"/>
  <c r="J846" i="1"/>
  <c r="I846" i="1"/>
  <c r="H846" i="1"/>
  <c r="H846" i="1" a="1"/>
  <c r="G846" i="1"/>
  <c r="G846" i="1" a="1"/>
  <c r="J845" i="1"/>
  <c r="I845" i="1"/>
  <c r="H845" i="1"/>
  <c r="H845" i="1" a="1"/>
  <c r="G845" i="1"/>
  <c r="G845" i="1" a="1"/>
  <c r="J844" i="1"/>
  <c r="I844" i="1"/>
  <c r="H844" i="1"/>
  <c r="H844" i="1" a="1"/>
  <c r="G844" i="1"/>
  <c r="G844" i="1" a="1"/>
  <c r="J843" i="1"/>
  <c r="I843" i="1"/>
  <c r="H843" i="1"/>
  <c r="H843" i="1" a="1"/>
  <c r="G843" i="1"/>
  <c r="G843" i="1" a="1"/>
  <c r="J842" i="1"/>
  <c r="I842" i="1"/>
  <c r="H842" i="1"/>
  <c r="H842" i="1" a="1"/>
  <c r="G842" i="1"/>
  <c r="G842" i="1" a="1"/>
  <c r="J841" i="1"/>
  <c r="I841" i="1"/>
  <c r="H841" i="1"/>
  <c r="H841" i="1" a="1"/>
  <c r="G841" i="1"/>
  <c r="G841" i="1" a="1"/>
  <c r="J840" i="1"/>
  <c r="I840" i="1"/>
  <c r="H840" i="1"/>
  <c r="H840" i="1" a="1"/>
  <c r="G840" i="1"/>
  <c r="G840" i="1" a="1"/>
  <c r="J839" i="1"/>
  <c r="I839" i="1"/>
  <c r="H839" i="1"/>
  <c r="H839" i="1" a="1"/>
  <c r="G839" i="1"/>
  <c r="G839" i="1" a="1"/>
  <c r="J838" i="1"/>
  <c r="I838" i="1"/>
  <c r="H838" i="1"/>
  <c r="H838" i="1" a="1"/>
  <c r="G838" i="1"/>
  <c r="G838" i="1" a="1"/>
  <c r="J837" i="1"/>
  <c r="I837" i="1"/>
  <c r="H837" i="1"/>
  <c r="H837" i="1" a="1"/>
  <c r="G837" i="1"/>
  <c r="G837" i="1" a="1"/>
  <c r="J836" i="1"/>
  <c r="I836" i="1"/>
  <c r="H836" i="1"/>
  <c r="H836" i="1" a="1"/>
  <c r="G836" i="1"/>
  <c r="G836" i="1" a="1"/>
  <c r="J835" i="1"/>
  <c r="I835" i="1"/>
  <c r="H835" i="1"/>
  <c r="H835" i="1" a="1"/>
  <c r="G835" i="1"/>
  <c r="G835" i="1" a="1"/>
  <c r="J834" i="1"/>
  <c r="I834" i="1"/>
  <c r="H834" i="1"/>
  <c r="H834" i="1" a="1"/>
  <c r="G834" i="1"/>
  <c r="G834" i="1" a="1"/>
  <c r="J833" i="1"/>
  <c r="I833" i="1"/>
  <c r="H833" i="1"/>
  <c r="H833" i="1" a="1"/>
  <c r="G833" i="1"/>
  <c r="G833" i="1" a="1"/>
  <c r="J832" i="1"/>
  <c r="I832" i="1"/>
  <c r="H832" i="1"/>
  <c r="H832" i="1" a="1"/>
  <c r="G832" i="1"/>
  <c r="G832" i="1" a="1"/>
  <c r="J831" i="1"/>
  <c r="I831" i="1"/>
  <c r="H831" i="1"/>
  <c r="H831" i="1" a="1"/>
  <c r="G831" i="1"/>
  <c r="G831" i="1" a="1"/>
  <c r="J830" i="1"/>
  <c r="I830" i="1"/>
  <c r="H830" i="1"/>
  <c r="H830" i="1" a="1"/>
  <c r="G830" i="1"/>
  <c r="G830" i="1" a="1"/>
  <c r="J829" i="1"/>
  <c r="I829" i="1"/>
  <c r="H829" i="1"/>
  <c r="H829" i="1" a="1"/>
  <c r="G829" i="1"/>
  <c r="G829" i="1" a="1"/>
  <c r="J828" i="1"/>
  <c r="I828" i="1"/>
  <c r="H828" i="1"/>
  <c r="H828" i="1" a="1"/>
  <c r="G828" i="1"/>
  <c r="G828" i="1" a="1"/>
  <c r="J827" i="1"/>
  <c r="I827" i="1"/>
  <c r="H827" i="1"/>
  <c r="H827" i="1" a="1"/>
  <c r="G827" i="1"/>
  <c r="G827" i="1" a="1"/>
  <c r="J826" i="1"/>
  <c r="I826" i="1"/>
  <c r="H826" i="1"/>
  <c r="H826" i="1" a="1"/>
  <c r="G826" i="1"/>
  <c r="G826" i="1" a="1"/>
  <c r="J825" i="1"/>
  <c r="I825" i="1"/>
  <c r="H825" i="1"/>
  <c r="H825" i="1" a="1"/>
  <c r="G825" i="1"/>
  <c r="G825" i="1" a="1"/>
  <c r="J824" i="1"/>
  <c r="I824" i="1"/>
  <c r="H824" i="1"/>
  <c r="H824" i="1" a="1"/>
  <c r="G824" i="1"/>
  <c r="G824" i="1" a="1"/>
  <c r="J823" i="1"/>
  <c r="I823" i="1"/>
  <c r="H823" i="1"/>
  <c r="H823" i="1" a="1"/>
  <c r="G823" i="1"/>
  <c r="G823" i="1" a="1"/>
  <c r="J822" i="1"/>
  <c r="I822" i="1"/>
  <c r="H822" i="1"/>
  <c r="H822" i="1" a="1"/>
  <c r="G822" i="1"/>
  <c r="G822" i="1" a="1"/>
  <c r="J821" i="1"/>
  <c r="I821" i="1"/>
  <c r="H821" i="1"/>
  <c r="H821" i="1" a="1"/>
  <c r="G821" i="1"/>
  <c r="G821" i="1" a="1"/>
  <c r="J820" i="1"/>
  <c r="I820" i="1"/>
  <c r="H820" i="1"/>
  <c r="H820" i="1" a="1"/>
  <c r="G820" i="1"/>
  <c r="G820" i="1" a="1"/>
  <c r="J819" i="1"/>
  <c r="I819" i="1"/>
  <c r="H819" i="1"/>
  <c r="H819" i="1" a="1"/>
  <c r="G819" i="1"/>
  <c r="G819" i="1" a="1"/>
  <c r="J818" i="1"/>
  <c r="I818" i="1"/>
  <c r="H818" i="1"/>
  <c r="H818" i="1" a="1"/>
  <c r="G818" i="1"/>
  <c r="G818" i="1" a="1"/>
  <c r="J817" i="1"/>
  <c r="I817" i="1"/>
  <c r="H817" i="1"/>
  <c r="H817" i="1" a="1"/>
  <c r="G817" i="1"/>
  <c r="G817" i="1" a="1"/>
  <c r="J816" i="1"/>
  <c r="I816" i="1"/>
  <c r="H816" i="1"/>
  <c r="H816" i="1" a="1"/>
  <c r="G816" i="1"/>
  <c r="G816" i="1" a="1"/>
  <c r="J815" i="1"/>
  <c r="I815" i="1"/>
  <c r="H815" i="1"/>
  <c r="H815" i="1" a="1"/>
  <c r="G815" i="1"/>
  <c r="G815" i="1" a="1"/>
  <c r="J814" i="1"/>
  <c r="I814" i="1"/>
  <c r="H814" i="1"/>
  <c r="H814" i="1" a="1"/>
  <c r="G814" i="1"/>
  <c r="G814" i="1" a="1"/>
  <c r="J813" i="1"/>
  <c r="I813" i="1"/>
  <c r="H813" i="1"/>
  <c r="H813" i="1" a="1"/>
  <c r="G813" i="1"/>
  <c r="G813" i="1" a="1"/>
  <c r="J812" i="1"/>
  <c r="I812" i="1"/>
  <c r="H812" i="1"/>
  <c r="H812" i="1" a="1"/>
  <c r="G812" i="1"/>
  <c r="G812" i="1" a="1"/>
  <c r="J811" i="1"/>
  <c r="I811" i="1"/>
  <c r="H811" i="1"/>
  <c r="H811" i="1" a="1"/>
  <c r="G811" i="1"/>
  <c r="G811" i="1" a="1"/>
  <c r="J810" i="1"/>
  <c r="I810" i="1"/>
  <c r="H810" i="1"/>
  <c r="H810" i="1" a="1"/>
  <c r="G810" i="1"/>
  <c r="G810" i="1" a="1"/>
  <c r="J809" i="1"/>
  <c r="I809" i="1"/>
  <c r="H809" i="1"/>
  <c r="H809" i="1" a="1"/>
  <c r="G809" i="1"/>
  <c r="G809" i="1" a="1"/>
  <c r="J808" i="1"/>
  <c r="I808" i="1"/>
  <c r="H808" i="1"/>
  <c r="H808" i="1" a="1"/>
  <c r="G808" i="1"/>
  <c r="G808" i="1" a="1"/>
  <c r="J807" i="1"/>
  <c r="I807" i="1"/>
  <c r="H807" i="1"/>
  <c r="H807" i="1" a="1"/>
  <c r="G807" i="1"/>
  <c r="G807" i="1" a="1"/>
  <c r="J806" i="1"/>
  <c r="I806" i="1"/>
  <c r="H806" i="1"/>
  <c r="H806" i="1" a="1"/>
  <c r="G806" i="1"/>
  <c r="G806" i="1" a="1"/>
  <c r="J805" i="1"/>
  <c r="I805" i="1"/>
  <c r="H805" i="1"/>
  <c r="H805" i="1" a="1"/>
  <c r="G805" i="1"/>
  <c r="G805" i="1" a="1"/>
  <c r="J804" i="1"/>
  <c r="I804" i="1"/>
  <c r="H804" i="1"/>
  <c r="H804" i="1" a="1"/>
  <c r="G804" i="1"/>
  <c r="G804" i="1" a="1"/>
  <c r="J803" i="1"/>
  <c r="I803" i="1"/>
  <c r="H803" i="1"/>
  <c r="H803" i="1" a="1"/>
  <c r="G803" i="1"/>
  <c r="G803" i="1" a="1"/>
  <c r="J802" i="1"/>
  <c r="I802" i="1"/>
  <c r="H802" i="1"/>
  <c r="H802" i="1" a="1"/>
  <c r="G802" i="1"/>
  <c r="G802" i="1" a="1"/>
  <c r="J801" i="1"/>
  <c r="I801" i="1"/>
  <c r="H801" i="1"/>
  <c r="H801" i="1" a="1"/>
  <c r="G801" i="1"/>
  <c r="G801" i="1" a="1"/>
  <c r="J800" i="1"/>
  <c r="I800" i="1"/>
  <c r="H800" i="1"/>
  <c r="H800" i="1" a="1"/>
  <c r="G800" i="1"/>
  <c r="G800" i="1" a="1"/>
  <c r="J799" i="1"/>
  <c r="I799" i="1"/>
  <c r="H799" i="1"/>
  <c r="H799" i="1" a="1"/>
  <c r="G799" i="1"/>
  <c r="G799" i="1" a="1"/>
  <c r="J798" i="1"/>
  <c r="I798" i="1"/>
  <c r="H798" i="1"/>
  <c r="H798" i="1" a="1"/>
  <c r="G798" i="1"/>
  <c r="G798" i="1" a="1"/>
  <c r="J797" i="1"/>
  <c r="I797" i="1"/>
  <c r="H797" i="1"/>
  <c r="H797" i="1" a="1"/>
  <c r="G797" i="1"/>
  <c r="G797" i="1" a="1"/>
  <c r="J796" i="1"/>
  <c r="I796" i="1"/>
  <c r="H796" i="1"/>
  <c r="H796" i="1" a="1"/>
  <c r="G796" i="1"/>
  <c r="G796" i="1" a="1"/>
  <c r="J795" i="1"/>
  <c r="I795" i="1"/>
  <c r="H795" i="1"/>
  <c r="H795" i="1" a="1"/>
  <c r="G795" i="1"/>
  <c r="G795" i="1" a="1"/>
  <c r="J794" i="1"/>
  <c r="I794" i="1"/>
  <c r="H794" i="1"/>
  <c r="H794" i="1" a="1"/>
  <c r="G794" i="1"/>
  <c r="G794" i="1" a="1"/>
  <c r="J793" i="1"/>
  <c r="I793" i="1"/>
  <c r="H793" i="1"/>
  <c r="H793" i="1" a="1"/>
  <c r="G793" i="1"/>
  <c r="G793" i="1" a="1"/>
  <c r="J792" i="1"/>
  <c r="I792" i="1"/>
  <c r="H792" i="1"/>
  <c r="H792" i="1" a="1"/>
  <c r="G792" i="1"/>
  <c r="G792" i="1" a="1"/>
  <c r="J791" i="1"/>
  <c r="I791" i="1"/>
  <c r="H791" i="1"/>
  <c r="H791" i="1" a="1"/>
  <c r="G791" i="1"/>
  <c r="G791" i="1" a="1"/>
  <c r="J790" i="1"/>
  <c r="I790" i="1"/>
  <c r="H790" i="1"/>
  <c r="H790" i="1" a="1"/>
  <c r="G790" i="1"/>
  <c r="G790" i="1" a="1"/>
  <c r="J789" i="1"/>
  <c r="I789" i="1"/>
  <c r="H789" i="1"/>
  <c r="H789" i="1" a="1"/>
  <c r="G789" i="1"/>
  <c r="G789" i="1" a="1"/>
  <c r="J788" i="1"/>
  <c r="I788" i="1"/>
  <c r="H788" i="1"/>
  <c r="H788" i="1" a="1"/>
  <c r="G788" i="1"/>
  <c r="G788" i="1" a="1"/>
  <c r="J787" i="1"/>
  <c r="I787" i="1"/>
  <c r="H787" i="1"/>
  <c r="H787" i="1" a="1"/>
  <c r="G787" i="1"/>
  <c r="G787" i="1" a="1"/>
  <c r="J786" i="1"/>
  <c r="I786" i="1"/>
  <c r="H786" i="1"/>
  <c r="H786" i="1" a="1"/>
  <c r="G786" i="1"/>
  <c r="G786" i="1" a="1"/>
  <c r="J785" i="1"/>
  <c r="I785" i="1"/>
  <c r="H785" i="1"/>
  <c r="H785" i="1" a="1"/>
  <c r="G785" i="1"/>
  <c r="G785" i="1" a="1"/>
  <c r="J784" i="1"/>
  <c r="I784" i="1"/>
  <c r="H784" i="1"/>
  <c r="H784" i="1" a="1"/>
  <c r="G784" i="1"/>
  <c r="G784" i="1" a="1"/>
  <c r="J783" i="1"/>
  <c r="I783" i="1"/>
  <c r="H783" i="1"/>
  <c r="H783" i="1" a="1"/>
  <c r="G783" i="1"/>
  <c r="G783" i="1" a="1"/>
  <c r="J782" i="1"/>
  <c r="I782" i="1"/>
  <c r="H782" i="1"/>
  <c r="H782" i="1" a="1"/>
  <c r="G782" i="1"/>
  <c r="G782" i="1" a="1"/>
  <c r="J781" i="1"/>
  <c r="I781" i="1"/>
  <c r="H781" i="1"/>
  <c r="H781" i="1" a="1"/>
  <c r="G781" i="1"/>
  <c r="G781" i="1" a="1"/>
  <c r="J780" i="1"/>
  <c r="I780" i="1"/>
  <c r="H780" i="1"/>
  <c r="H780" i="1" a="1"/>
  <c r="G780" i="1"/>
  <c r="G780" i="1" a="1"/>
  <c r="J779" i="1"/>
  <c r="I779" i="1"/>
  <c r="H779" i="1"/>
  <c r="H779" i="1" a="1"/>
  <c r="G779" i="1"/>
  <c r="G779" i="1" a="1"/>
  <c r="J778" i="1"/>
  <c r="I778" i="1"/>
  <c r="H778" i="1"/>
  <c r="H778" i="1" a="1"/>
  <c r="G778" i="1"/>
  <c r="G778" i="1" a="1"/>
  <c r="J777" i="1"/>
  <c r="I777" i="1"/>
  <c r="H777" i="1"/>
  <c r="H777" i="1" a="1"/>
  <c r="G777" i="1"/>
  <c r="G777" i="1" a="1"/>
  <c r="J776" i="1"/>
  <c r="I776" i="1"/>
  <c r="H776" i="1"/>
  <c r="H776" i="1" a="1"/>
  <c r="G776" i="1"/>
  <c r="G776" i="1" a="1"/>
  <c r="J775" i="1"/>
  <c r="I775" i="1"/>
  <c r="H775" i="1"/>
  <c r="H775" i="1" a="1"/>
  <c r="G775" i="1"/>
  <c r="G775" i="1" a="1"/>
  <c r="J774" i="1"/>
  <c r="I774" i="1"/>
  <c r="H774" i="1"/>
  <c r="H774" i="1" a="1"/>
  <c r="G774" i="1"/>
  <c r="G774" i="1" a="1"/>
  <c r="J773" i="1"/>
  <c r="I773" i="1"/>
  <c r="H773" i="1"/>
  <c r="H773" i="1" a="1"/>
  <c r="G773" i="1"/>
  <c r="G773" i="1" a="1"/>
  <c r="J772" i="1"/>
  <c r="I772" i="1"/>
  <c r="H772" i="1"/>
  <c r="H772" i="1" a="1"/>
  <c r="G772" i="1"/>
  <c r="G772" i="1" a="1"/>
  <c r="J771" i="1"/>
  <c r="I771" i="1"/>
  <c r="H771" i="1"/>
  <c r="H771" i="1" a="1"/>
  <c r="G771" i="1"/>
  <c r="G771" i="1" a="1"/>
  <c r="J770" i="1"/>
  <c r="I770" i="1"/>
  <c r="H770" i="1"/>
  <c r="H770" i="1" a="1"/>
  <c r="G770" i="1"/>
  <c r="G770" i="1" a="1"/>
  <c r="J769" i="1"/>
  <c r="I769" i="1"/>
  <c r="H769" i="1"/>
  <c r="H769" i="1" a="1"/>
  <c r="G769" i="1"/>
  <c r="G769" i="1" a="1"/>
  <c r="J768" i="1"/>
  <c r="I768" i="1"/>
  <c r="H768" i="1"/>
  <c r="H768" i="1" a="1"/>
  <c r="G768" i="1"/>
  <c r="G768" i="1" a="1"/>
  <c r="J767" i="1"/>
  <c r="I767" i="1"/>
  <c r="H767" i="1"/>
  <c r="H767" i="1" a="1"/>
  <c r="G767" i="1"/>
  <c r="G767" i="1" a="1"/>
  <c r="J766" i="1"/>
  <c r="I766" i="1"/>
  <c r="H766" i="1"/>
  <c r="H766" i="1" a="1"/>
  <c r="G766" i="1"/>
  <c r="G766" i="1" a="1"/>
  <c r="J765" i="1"/>
  <c r="I765" i="1"/>
  <c r="H765" i="1"/>
  <c r="H765" i="1" a="1"/>
  <c r="G765" i="1"/>
  <c r="G765" i="1" a="1"/>
  <c r="J764" i="1"/>
  <c r="I764" i="1"/>
  <c r="H764" i="1"/>
  <c r="H764" i="1" a="1"/>
  <c r="G764" i="1"/>
  <c r="G764" i="1" a="1"/>
  <c r="J763" i="1"/>
  <c r="I763" i="1"/>
  <c r="H763" i="1"/>
  <c r="H763" i="1" a="1"/>
  <c r="G763" i="1"/>
  <c r="G763" i="1" a="1"/>
  <c r="J762" i="1"/>
  <c r="I762" i="1"/>
  <c r="H762" i="1"/>
  <c r="H762" i="1" a="1"/>
  <c r="G762" i="1"/>
  <c r="G762" i="1" a="1"/>
  <c r="J761" i="1"/>
  <c r="I761" i="1"/>
  <c r="H761" i="1"/>
  <c r="H761" i="1" a="1"/>
  <c r="G761" i="1"/>
  <c r="G761" i="1" a="1"/>
  <c r="J760" i="1"/>
  <c r="I760" i="1"/>
  <c r="H760" i="1"/>
  <c r="H760" i="1" a="1"/>
  <c r="G760" i="1"/>
  <c r="G760" i="1" a="1"/>
  <c r="J759" i="1"/>
  <c r="I759" i="1"/>
  <c r="H759" i="1"/>
  <c r="H759" i="1" a="1"/>
  <c r="G759" i="1"/>
  <c r="G759" i="1" a="1"/>
  <c r="J758" i="1"/>
  <c r="I758" i="1"/>
  <c r="H758" i="1"/>
  <c r="H758" i="1" a="1"/>
  <c r="G758" i="1"/>
  <c r="G758" i="1" a="1"/>
  <c r="J757" i="1"/>
  <c r="I757" i="1"/>
  <c r="H757" i="1"/>
  <c r="H757" i="1" a="1"/>
  <c r="G757" i="1"/>
  <c r="G757" i="1" a="1"/>
  <c r="J756" i="1"/>
  <c r="I756" i="1"/>
  <c r="H756" i="1"/>
  <c r="H756" i="1" a="1"/>
  <c r="G756" i="1"/>
  <c r="G756" i="1" a="1"/>
  <c r="J755" i="1"/>
  <c r="I755" i="1"/>
  <c r="H755" i="1"/>
  <c r="H755" i="1" a="1"/>
  <c r="G755" i="1"/>
  <c r="G755" i="1" a="1"/>
  <c r="J754" i="1"/>
  <c r="I754" i="1"/>
  <c r="H754" i="1"/>
  <c r="H754" i="1" a="1"/>
  <c r="G754" i="1"/>
  <c r="G754" i="1" a="1"/>
  <c r="J753" i="1"/>
  <c r="I753" i="1"/>
  <c r="H753" i="1"/>
  <c r="H753" i="1" a="1"/>
  <c r="G753" i="1"/>
  <c r="G753" i="1" a="1"/>
  <c r="J752" i="1"/>
  <c r="I752" i="1"/>
  <c r="H752" i="1"/>
  <c r="H752" i="1" a="1"/>
  <c r="G752" i="1"/>
  <c r="G752" i="1" a="1"/>
  <c r="J751" i="1"/>
  <c r="I751" i="1"/>
  <c r="H751" i="1"/>
  <c r="H751" i="1" a="1"/>
  <c r="G751" i="1"/>
  <c r="G751" i="1" a="1"/>
  <c r="J750" i="1"/>
  <c r="I750" i="1"/>
  <c r="H750" i="1"/>
  <c r="H750" i="1" a="1"/>
  <c r="G750" i="1"/>
  <c r="G750" i="1" a="1"/>
  <c r="J749" i="1"/>
  <c r="I749" i="1"/>
  <c r="H749" i="1"/>
  <c r="H749" i="1" a="1"/>
  <c r="G749" i="1"/>
  <c r="G749" i="1" a="1"/>
  <c r="J748" i="1"/>
  <c r="I748" i="1"/>
  <c r="H748" i="1"/>
  <c r="H748" i="1" a="1"/>
  <c r="G748" i="1"/>
  <c r="G748" i="1" a="1"/>
  <c r="J747" i="1"/>
  <c r="I747" i="1"/>
  <c r="H747" i="1"/>
  <c r="H747" i="1" a="1"/>
  <c r="G747" i="1"/>
  <c r="G747" i="1" a="1"/>
  <c r="J746" i="1"/>
  <c r="I746" i="1"/>
  <c r="H746" i="1"/>
  <c r="H746" i="1" a="1"/>
  <c r="G746" i="1"/>
  <c r="G746" i="1" a="1"/>
  <c r="J745" i="1"/>
  <c r="I745" i="1"/>
  <c r="H745" i="1"/>
  <c r="H745" i="1" a="1"/>
  <c r="G745" i="1"/>
  <c r="G745" i="1" a="1"/>
  <c r="J744" i="1"/>
  <c r="I744" i="1"/>
  <c r="H744" i="1"/>
  <c r="H744" i="1" a="1"/>
  <c r="G744" i="1"/>
  <c r="G744" i="1" a="1"/>
  <c r="J743" i="1"/>
  <c r="I743" i="1"/>
  <c r="H743" i="1"/>
  <c r="H743" i="1" a="1"/>
  <c r="G743" i="1"/>
  <c r="G743" i="1" a="1"/>
  <c r="J742" i="1"/>
  <c r="I742" i="1"/>
  <c r="H742" i="1"/>
  <c r="H742" i="1" a="1"/>
  <c r="G742" i="1"/>
  <c r="G742" i="1" a="1"/>
  <c r="J741" i="1"/>
  <c r="I741" i="1"/>
  <c r="H741" i="1"/>
  <c r="H741" i="1" a="1"/>
  <c r="G741" i="1"/>
  <c r="G741" i="1" a="1"/>
  <c r="J740" i="1"/>
  <c r="I740" i="1"/>
  <c r="H740" i="1"/>
  <c r="H740" i="1" a="1"/>
  <c r="G740" i="1"/>
  <c r="G740" i="1" a="1"/>
  <c r="J739" i="1"/>
  <c r="I739" i="1"/>
  <c r="H739" i="1"/>
  <c r="H739" i="1" a="1"/>
  <c r="G739" i="1"/>
  <c r="G739" i="1" a="1"/>
  <c r="J738" i="1"/>
  <c r="I738" i="1"/>
  <c r="H738" i="1"/>
  <c r="H738" i="1" a="1"/>
  <c r="G738" i="1"/>
  <c r="G738" i="1" a="1"/>
  <c r="J737" i="1"/>
  <c r="I737" i="1"/>
  <c r="H737" i="1"/>
  <c r="H737" i="1" a="1"/>
  <c r="G737" i="1"/>
  <c r="G737" i="1" a="1"/>
  <c r="J736" i="1"/>
  <c r="I736" i="1"/>
  <c r="H736" i="1"/>
  <c r="H736" i="1" a="1"/>
  <c r="G736" i="1"/>
  <c r="G736" i="1" a="1"/>
  <c r="J735" i="1"/>
  <c r="I735" i="1"/>
  <c r="H735" i="1"/>
  <c r="H735" i="1" a="1"/>
  <c r="G735" i="1"/>
  <c r="G735" i="1" a="1"/>
  <c r="J734" i="1"/>
  <c r="I734" i="1"/>
  <c r="H734" i="1"/>
  <c r="H734" i="1" a="1"/>
  <c r="G734" i="1"/>
  <c r="G734" i="1" a="1"/>
  <c r="J733" i="1"/>
  <c r="I733" i="1"/>
  <c r="H733" i="1"/>
  <c r="H733" i="1" a="1"/>
  <c r="G733" i="1"/>
  <c r="G733" i="1" a="1"/>
  <c r="J732" i="1"/>
  <c r="I732" i="1"/>
  <c r="H732" i="1"/>
  <c r="H732" i="1" a="1"/>
  <c r="G732" i="1"/>
  <c r="G732" i="1" a="1"/>
  <c r="J731" i="1"/>
  <c r="I731" i="1"/>
  <c r="H731" i="1"/>
  <c r="H731" i="1" a="1"/>
  <c r="G731" i="1"/>
  <c r="G731" i="1" a="1"/>
  <c r="J730" i="1"/>
  <c r="I730" i="1"/>
  <c r="H730" i="1"/>
  <c r="H730" i="1" a="1"/>
  <c r="G730" i="1"/>
  <c r="G730" i="1" a="1"/>
  <c r="J729" i="1"/>
  <c r="I729" i="1"/>
  <c r="H729" i="1"/>
  <c r="H729" i="1" a="1"/>
  <c r="G729" i="1"/>
  <c r="G729" i="1" a="1"/>
  <c r="J728" i="1"/>
  <c r="I728" i="1"/>
  <c r="H728" i="1"/>
  <c r="H728" i="1" a="1"/>
  <c r="G728" i="1"/>
  <c r="G728" i="1" a="1"/>
  <c r="J727" i="1"/>
  <c r="I727" i="1"/>
  <c r="H727" i="1"/>
  <c r="H727" i="1" a="1"/>
  <c r="G727" i="1"/>
  <c r="G727" i="1" a="1"/>
  <c r="J726" i="1"/>
  <c r="I726" i="1"/>
  <c r="H726" i="1"/>
  <c r="H726" i="1" a="1"/>
  <c r="G726" i="1"/>
  <c r="G726" i="1" a="1"/>
  <c r="J725" i="1"/>
  <c r="I725" i="1"/>
  <c r="H725" i="1"/>
  <c r="H725" i="1" a="1"/>
  <c r="G725" i="1"/>
  <c r="G725" i="1" a="1"/>
  <c r="J724" i="1"/>
  <c r="I724" i="1"/>
  <c r="H724" i="1"/>
  <c r="H724" i="1" a="1"/>
  <c r="G724" i="1"/>
  <c r="G724" i="1" a="1"/>
  <c r="J723" i="1"/>
  <c r="I723" i="1"/>
  <c r="H723" i="1"/>
  <c r="H723" i="1" a="1"/>
  <c r="G723" i="1"/>
  <c r="G723" i="1" a="1"/>
  <c r="J722" i="1"/>
  <c r="I722" i="1"/>
  <c r="H722" i="1"/>
  <c r="H722" i="1" a="1"/>
  <c r="G722" i="1"/>
  <c r="G722" i="1" a="1"/>
  <c r="J721" i="1"/>
  <c r="I721" i="1"/>
  <c r="H721" i="1"/>
  <c r="H721" i="1" a="1"/>
  <c r="G721" i="1"/>
  <c r="G721" i="1" a="1"/>
  <c r="J720" i="1"/>
  <c r="I720" i="1"/>
  <c r="H720" i="1"/>
  <c r="H720" i="1" a="1"/>
  <c r="G720" i="1"/>
  <c r="G720" i="1" a="1"/>
  <c r="J719" i="1"/>
  <c r="I719" i="1"/>
  <c r="H719" i="1"/>
  <c r="H719" i="1" a="1"/>
  <c r="G719" i="1"/>
  <c r="G719" i="1" a="1"/>
  <c r="J718" i="1"/>
  <c r="I718" i="1"/>
  <c r="H718" i="1"/>
  <c r="H718" i="1" a="1"/>
  <c r="G718" i="1"/>
  <c r="G718" i="1" a="1"/>
  <c r="J717" i="1"/>
  <c r="I717" i="1"/>
  <c r="H717" i="1"/>
  <c r="H717" i="1" a="1"/>
  <c r="G717" i="1"/>
  <c r="G717" i="1" a="1"/>
  <c r="J716" i="1"/>
  <c r="I716" i="1"/>
  <c r="H716" i="1"/>
  <c r="H716" i="1" a="1"/>
  <c r="G716" i="1"/>
  <c r="G716" i="1" a="1"/>
  <c r="J715" i="1"/>
  <c r="I715" i="1"/>
  <c r="H715" i="1"/>
  <c r="H715" i="1" a="1"/>
  <c r="G715" i="1"/>
  <c r="G715" i="1" a="1"/>
  <c r="J714" i="1"/>
  <c r="I714" i="1"/>
  <c r="H714" i="1"/>
  <c r="H714" i="1" a="1"/>
  <c r="G714" i="1"/>
  <c r="G714" i="1" a="1"/>
  <c r="J713" i="1"/>
  <c r="I713" i="1"/>
  <c r="H713" i="1"/>
  <c r="H713" i="1" a="1"/>
  <c r="G713" i="1"/>
  <c r="G713" i="1" a="1"/>
  <c r="J712" i="1"/>
  <c r="I712" i="1"/>
  <c r="H712" i="1"/>
  <c r="H712" i="1" a="1"/>
  <c r="G712" i="1"/>
  <c r="G712" i="1" a="1"/>
  <c r="J711" i="1"/>
  <c r="I711" i="1"/>
  <c r="H711" i="1"/>
  <c r="H711" i="1" a="1"/>
  <c r="G711" i="1"/>
  <c r="G711" i="1" a="1"/>
  <c r="J710" i="1"/>
  <c r="I710" i="1"/>
  <c r="H710" i="1"/>
  <c r="H710" i="1" a="1"/>
  <c r="G710" i="1"/>
  <c r="G710" i="1" a="1"/>
  <c r="J709" i="1"/>
  <c r="I709" i="1"/>
  <c r="H709" i="1"/>
  <c r="H709" i="1" a="1"/>
  <c r="G709" i="1"/>
  <c r="G709" i="1" a="1"/>
  <c r="J708" i="1"/>
  <c r="I708" i="1"/>
  <c r="H708" i="1"/>
  <c r="H708" i="1" a="1"/>
  <c r="G708" i="1"/>
  <c r="G708" i="1" a="1"/>
  <c r="J707" i="1"/>
  <c r="I707" i="1"/>
  <c r="H707" i="1"/>
  <c r="H707" i="1" a="1"/>
  <c r="G707" i="1"/>
  <c r="G707" i="1" a="1"/>
  <c r="J706" i="1"/>
  <c r="I706" i="1"/>
  <c r="H706" i="1"/>
  <c r="H706" i="1" a="1"/>
  <c r="G706" i="1"/>
  <c r="G706" i="1" a="1"/>
  <c r="J705" i="1"/>
  <c r="I705" i="1"/>
  <c r="H705" i="1"/>
  <c r="H705" i="1" a="1"/>
  <c r="G705" i="1"/>
  <c r="G705" i="1" a="1"/>
  <c r="J704" i="1"/>
  <c r="I704" i="1"/>
  <c r="H704" i="1"/>
  <c r="H704" i="1" a="1"/>
  <c r="G704" i="1"/>
  <c r="G704" i="1" a="1"/>
  <c r="J703" i="1"/>
  <c r="I703" i="1"/>
  <c r="H703" i="1"/>
  <c r="H703" i="1" a="1"/>
  <c r="G703" i="1"/>
  <c r="G703" i="1" a="1"/>
  <c r="J702" i="1"/>
  <c r="I702" i="1"/>
  <c r="H702" i="1"/>
  <c r="H702" i="1" a="1"/>
  <c r="G702" i="1"/>
  <c r="G702" i="1" a="1"/>
  <c r="J701" i="1"/>
  <c r="I701" i="1"/>
  <c r="H701" i="1"/>
  <c r="H701" i="1" a="1"/>
  <c r="G701" i="1"/>
  <c r="G701" i="1" a="1"/>
  <c r="J700" i="1"/>
  <c r="I700" i="1"/>
  <c r="H700" i="1"/>
  <c r="H700" i="1" a="1"/>
  <c r="G700" i="1"/>
  <c r="G700" i="1" a="1"/>
  <c r="J699" i="1"/>
  <c r="I699" i="1"/>
  <c r="H699" i="1"/>
  <c r="H699" i="1" a="1"/>
  <c r="G699" i="1"/>
  <c r="G699" i="1" a="1"/>
  <c r="J698" i="1"/>
  <c r="I698" i="1"/>
  <c r="H698" i="1"/>
  <c r="H698" i="1" a="1"/>
  <c r="G698" i="1"/>
  <c r="G698" i="1" a="1"/>
  <c r="J697" i="1"/>
  <c r="I697" i="1"/>
  <c r="H697" i="1"/>
  <c r="H697" i="1" a="1"/>
  <c r="G697" i="1"/>
  <c r="G697" i="1" a="1"/>
  <c r="J696" i="1"/>
  <c r="I696" i="1"/>
  <c r="H696" i="1"/>
  <c r="H696" i="1" a="1"/>
  <c r="G696" i="1"/>
  <c r="G696" i="1" a="1"/>
  <c r="J695" i="1"/>
  <c r="I695" i="1"/>
  <c r="H695" i="1"/>
  <c r="H695" i="1" a="1"/>
  <c r="G695" i="1"/>
  <c r="G695" i="1" a="1"/>
  <c r="J694" i="1"/>
  <c r="I694" i="1"/>
  <c r="H694" i="1"/>
  <c r="H694" i="1" a="1"/>
  <c r="G694" i="1"/>
  <c r="G694" i="1" a="1"/>
  <c r="J693" i="1"/>
  <c r="I693" i="1"/>
  <c r="H693" i="1"/>
  <c r="H693" i="1" a="1"/>
  <c r="G693" i="1"/>
  <c r="G693" i="1" a="1"/>
  <c r="J692" i="1"/>
  <c r="I692" i="1"/>
  <c r="H692" i="1"/>
  <c r="H692" i="1" a="1"/>
  <c r="G692" i="1"/>
  <c r="G692" i="1" a="1"/>
  <c r="J691" i="1"/>
  <c r="I691" i="1"/>
  <c r="H691" i="1"/>
  <c r="H691" i="1" a="1"/>
  <c r="G691" i="1"/>
  <c r="G691" i="1" a="1"/>
  <c r="J690" i="1"/>
  <c r="I690" i="1"/>
  <c r="H690" i="1"/>
  <c r="H690" i="1" a="1"/>
  <c r="G690" i="1"/>
  <c r="G690" i="1" a="1"/>
  <c r="J689" i="1"/>
  <c r="I689" i="1"/>
  <c r="H689" i="1"/>
  <c r="H689" i="1" a="1"/>
  <c r="G689" i="1"/>
  <c r="G689" i="1" a="1"/>
  <c r="J688" i="1"/>
  <c r="I688" i="1"/>
  <c r="H688" i="1"/>
  <c r="H688" i="1" a="1"/>
  <c r="G688" i="1"/>
  <c r="G688" i="1" a="1"/>
  <c r="J687" i="1"/>
  <c r="I687" i="1"/>
  <c r="H687" i="1"/>
  <c r="H687" i="1" a="1"/>
  <c r="G687" i="1"/>
  <c r="G687" i="1" a="1"/>
  <c r="J686" i="1"/>
  <c r="I686" i="1"/>
  <c r="H686" i="1"/>
  <c r="H686" i="1" a="1"/>
  <c r="G686" i="1"/>
  <c r="G686" i="1" a="1"/>
  <c r="J685" i="1"/>
  <c r="I685" i="1"/>
  <c r="H685" i="1"/>
  <c r="H685" i="1" a="1"/>
  <c r="G685" i="1"/>
  <c r="G685" i="1" a="1"/>
  <c r="J684" i="1"/>
  <c r="I684" i="1"/>
  <c r="H684" i="1"/>
  <c r="H684" i="1" a="1"/>
  <c r="G684" i="1"/>
  <c r="G684" i="1" a="1"/>
  <c r="J683" i="1"/>
  <c r="I683" i="1"/>
  <c r="H683" i="1"/>
  <c r="H683" i="1" a="1"/>
  <c r="G683" i="1"/>
  <c r="G683" i="1" a="1"/>
  <c r="J682" i="1"/>
  <c r="I682" i="1"/>
  <c r="H682" i="1"/>
  <c r="H682" i="1" a="1"/>
  <c r="G682" i="1"/>
  <c r="G682" i="1" a="1"/>
  <c r="J681" i="1"/>
  <c r="I681" i="1"/>
  <c r="H681" i="1"/>
  <c r="H681" i="1" a="1"/>
  <c r="G681" i="1"/>
  <c r="G681" i="1" a="1"/>
  <c r="J680" i="1"/>
  <c r="I680" i="1"/>
  <c r="H680" i="1"/>
  <c r="H680" i="1" a="1"/>
  <c r="G680" i="1"/>
  <c r="G680" i="1" a="1"/>
  <c r="J679" i="1"/>
  <c r="I679" i="1"/>
  <c r="H679" i="1"/>
  <c r="H679" i="1" a="1"/>
  <c r="G679" i="1"/>
  <c r="G679" i="1" a="1"/>
  <c r="J678" i="1"/>
  <c r="I678" i="1"/>
  <c r="H678" i="1"/>
  <c r="H678" i="1" a="1"/>
  <c r="G678" i="1"/>
  <c r="G678" i="1" a="1"/>
  <c r="J677" i="1"/>
  <c r="I677" i="1"/>
  <c r="H677" i="1"/>
  <c r="H677" i="1" a="1"/>
  <c r="G677" i="1"/>
  <c r="G677" i="1" a="1"/>
  <c r="J676" i="1"/>
  <c r="I676" i="1"/>
  <c r="H676" i="1"/>
  <c r="H676" i="1" a="1"/>
  <c r="G676" i="1"/>
  <c r="G676" i="1" a="1"/>
  <c r="J675" i="1"/>
  <c r="I675" i="1"/>
  <c r="H675" i="1"/>
  <c r="H675" i="1" a="1"/>
  <c r="G675" i="1"/>
  <c r="G675" i="1" a="1"/>
  <c r="J674" i="1"/>
  <c r="I674" i="1"/>
  <c r="H674" i="1"/>
  <c r="H674" i="1" a="1"/>
  <c r="G674" i="1"/>
  <c r="G674" i="1" a="1"/>
  <c r="J673" i="1"/>
  <c r="I673" i="1"/>
  <c r="H673" i="1"/>
  <c r="H673" i="1" a="1"/>
  <c r="G673" i="1"/>
  <c r="G673" i="1" a="1"/>
  <c r="J672" i="1"/>
  <c r="I672" i="1"/>
  <c r="H672" i="1"/>
  <c r="H672" i="1" a="1"/>
  <c r="G672" i="1"/>
  <c r="G672" i="1" a="1"/>
  <c r="J671" i="1"/>
  <c r="I671" i="1"/>
  <c r="H671" i="1"/>
  <c r="H671" i="1" a="1"/>
  <c r="G671" i="1"/>
  <c r="G671" i="1" a="1"/>
  <c r="J670" i="1"/>
  <c r="I670" i="1"/>
  <c r="H670" i="1"/>
  <c r="H670" i="1" a="1"/>
  <c r="G670" i="1"/>
  <c r="G670" i="1" a="1"/>
  <c r="J669" i="1"/>
  <c r="I669" i="1"/>
  <c r="H669" i="1"/>
  <c r="H669" i="1" a="1"/>
  <c r="G669" i="1"/>
  <c r="G669" i="1" a="1"/>
  <c r="J668" i="1"/>
  <c r="I668" i="1"/>
  <c r="H668" i="1"/>
  <c r="H668" i="1" a="1"/>
  <c r="G668" i="1"/>
  <c r="G668" i="1" a="1"/>
  <c r="J667" i="1"/>
  <c r="I667" i="1"/>
  <c r="H667" i="1"/>
  <c r="H667" i="1" a="1"/>
  <c r="G667" i="1"/>
  <c r="G667" i="1" a="1"/>
  <c r="J666" i="1"/>
  <c r="I666" i="1"/>
  <c r="H666" i="1"/>
  <c r="H666" i="1" a="1"/>
  <c r="G666" i="1"/>
  <c r="G666" i="1" a="1"/>
  <c r="J665" i="1"/>
  <c r="I665" i="1"/>
  <c r="H665" i="1"/>
  <c r="H665" i="1" a="1"/>
  <c r="G665" i="1"/>
  <c r="G665" i="1" a="1"/>
  <c r="J664" i="1"/>
  <c r="I664" i="1"/>
  <c r="H664" i="1"/>
  <c r="H664" i="1" a="1"/>
  <c r="G664" i="1"/>
  <c r="G664" i="1" a="1"/>
  <c r="J663" i="1"/>
  <c r="I663" i="1"/>
  <c r="H663" i="1"/>
  <c r="H663" i="1" a="1"/>
  <c r="G663" i="1"/>
  <c r="G663" i="1" a="1"/>
  <c r="J662" i="1"/>
  <c r="I662" i="1"/>
  <c r="H662" i="1"/>
  <c r="H662" i="1" a="1"/>
  <c r="G662" i="1"/>
  <c r="G662" i="1" a="1"/>
  <c r="J661" i="1"/>
  <c r="I661" i="1"/>
  <c r="H661" i="1"/>
  <c r="H661" i="1" a="1"/>
  <c r="G661" i="1"/>
  <c r="G661" i="1" a="1"/>
  <c r="J660" i="1"/>
  <c r="I660" i="1"/>
  <c r="H660" i="1"/>
  <c r="H660" i="1" a="1"/>
  <c r="G660" i="1"/>
  <c r="G660" i="1" a="1"/>
  <c r="J659" i="1"/>
  <c r="I659" i="1"/>
  <c r="H659" i="1"/>
  <c r="H659" i="1" a="1"/>
  <c r="G659" i="1"/>
  <c r="G659" i="1" a="1"/>
  <c r="J658" i="1"/>
  <c r="I658" i="1"/>
  <c r="H658" i="1"/>
  <c r="H658" i="1" a="1"/>
  <c r="G658" i="1"/>
  <c r="G658" i="1" a="1"/>
  <c r="J657" i="1"/>
  <c r="I657" i="1"/>
  <c r="H657" i="1"/>
  <c r="H657" i="1" a="1"/>
  <c r="G657" i="1"/>
  <c r="G657" i="1" a="1"/>
  <c r="J656" i="1"/>
  <c r="I656" i="1"/>
  <c r="H656" i="1"/>
  <c r="H656" i="1" a="1"/>
  <c r="G656" i="1"/>
  <c r="G656" i="1" a="1"/>
  <c r="J655" i="1"/>
  <c r="I655" i="1"/>
  <c r="H655" i="1"/>
  <c r="H655" i="1" a="1"/>
  <c r="G655" i="1"/>
  <c r="G655" i="1" a="1"/>
  <c r="J654" i="1"/>
  <c r="I654" i="1"/>
  <c r="H654" i="1"/>
  <c r="H654" i="1" a="1"/>
  <c r="G654" i="1"/>
  <c r="G654" i="1" a="1"/>
  <c r="J653" i="1"/>
  <c r="I653" i="1"/>
  <c r="H653" i="1"/>
  <c r="H653" i="1" a="1"/>
  <c r="G653" i="1"/>
  <c r="G653" i="1" a="1"/>
  <c r="J652" i="1"/>
  <c r="I652" i="1"/>
  <c r="H652" i="1"/>
  <c r="H652" i="1" a="1"/>
  <c r="G652" i="1"/>
  <c r="G652" i="1" a="1"/>
  <c r="J651" i="1"/>
  <c r="I651" i="1"/>
  <c r="H651" i="1"/>
  <c r="H651" i="1" a="1"/>
  <c r="G651" i="1"/>
  <c r="G651" i="1" a="1"/>
  <c r="J650" i="1"/>
  <c r="I650" i="1"/>
  <c r="H650" i="1"/>
  <c r="H650" i="1" a="1"/>
  <c r="G650" i="1"/>
  <c r="G650" i="1" a="1"/>
  <c r="J649" i="1"/>
  <c r="I649" i="1"/>
  <c r="H649" i="1"/>
  <c r="H649" i="1" a="1"/>
  <c r="G649" i="1"/>
  <c r="G649" i="1" a="1"/>
  <c r="J648" i="1"/>
  <c r="I648" i="1"/>
  <c r="H648" i="1"/>
  <c r="H648" i="1" a="1"/>
  <c r="G648" i="1"/>
  <c r="G648" i="1" a="1"/>
  <c r="J647" i="1"/>
  <c r="I647" i="1"/>
  <c r="H647" i="1"/>
  <c r="H647" i="1" a="1"/>
  <c r="G647" i="1"/>
  <c r="G647" i="1" a="1"/>
  <c r="J646" i="1"/>
  <c r="I646" i="1"/>
  <c r="H646" i="1"/>
  <c r="H646" i="1" a="1"/>
  <c r="G646" i="1"/>
  <c r="G646" i="1" a="1"/>
  <c r="J645" i="1"/>
  <c r="I645" i="1"/>
  <c r="H645" i="1"/>
  <c r="H645" i="1" a="1"/>
  <c r="G645" i="1"/>
  <c r="G645" i="1" a="1"/>
  <c r="J644" i="1"/>
  <c r="I644" i="1"/>
  <c r="H644" i="1"/>
  <c r="H644" i="1" a="1"/>
  <c r="G644" i="1"/>
  <c r="G644" i="1" a="1"/>
  <c r="J643" i="1"/>
  <c r="I643" i="1"/>
  <c r="H643" i="1"/>
  <c r="H643" i="1" a="1"/>
  <c r="G643" i="1"/>
  <c r="G643" i="1" a="1"/>
  <c r="J642" i="1"/>
  <c r="I642" i="1"/>
  <c r="H642" i="1"/>
  <c r="H642" i="1" a="1"/>
  <c r="G642" i="1"/>
  <c r="G642" i="1" a="1"/>
  <c r="J641" i="1"/>
  <c r="I641" i="1"/>
  <c r="H641" i="1"/>
  <c r="H641" i="1" a="1"/>
  <c r="G641" i="1"/>
  <c r="G641" i="1" a="1"/>
  <c r="J640" i="1"/>
  <c r="I640" i="1"/>
  <c r="H640" i="1"/>
  <c r="H640" i="1" a="1"/>
  <c r="G640" i="1"/>
  <c r="G640" i="1" a="1"/>
  <c r="J639" i="1"/>
  <c r="I639" i="1"/>
  <c r="H639" i="1"/>
  <c r="H639" i="1" a="1"/>
  <c r="G639" i="1"/>
  <c r="G639" i="1" a="1"/>
  <c r="J638" i="1"/>
  <c r="I638" i="1"/>
  <c r="H638" i="1"/>
  <c r="H638" i="1" a="1"/>
  <c r="G638" i="1"/>
  <c r="G638" i="1" a="1"/>
  <c r="J637" i="1"/>
  <c r="I637" i="1"/>
  <c r="H637" i="1"/>
  <c r="H637" i="1" a="1"/>
  <c r="G637" i="1"/>
  <c r="G637" i="1" a="1"/>
  <c r="J636" i="1"/>
  <c r="I636" i="1"/>
  <c r="H636" i="1"/>
  <c r="H636" i="1" a="1"/>
  <c r="G636" i="1"/>
  <c r="G636" i="1" a="1"/>
  <c r="J635" i="1"/>
  <c r="I635" i="1"/>
  <c r="H635" i="1"/>
  <c r="H635" i="1" a="1"/>
  <c r="G635" i="1"/>
  <c r="G635" i="1" a="1"/>
  <c r="J634" i="1"/>
  <c r="I634" i="1"/>
  <c r="H634" i="1"/>
  <c r="H634" i="1" a="1"/>
  <c r="G634" i="1"/>
  <c r="G634" i="1" a="1"/>
  <c r="J633" i="1"/>
  <c r="I633" i="1"/>
  <c r="H633" i="1"/>
  <c r="H633" i="1" a="1"/>
  <c r="G633" i="1"/>
  <c r="G633" i="1" a="1"/>
  <c r="J632" i="1"/>
  <c r="I632" i="1"/>
  <c r="H632" i="1"/>
  <c r="H632" i="1" a="1"/>
  <c r="G632" i="1"/>
  <c r="G632" i="1" a="1"/>
  <c r="J631" i="1"/>
  <c r="I631" i="1"/>
  <c r="H631" i="1"/>
  <c r="H631" i="1" a="1"/>
  <c r="G631" i="1"/>
  <c r="G631" i="1" a="1"/>
  <c r="J630" i="1"/>
  <c r="I630" i="1"/>
  <c r="H630" i="1"/>
  <c r="H630" i="1" a="1"/>
  <c r="G630" i="1"/>
  <c r="G630" i="1" a="1"/>
  <c r="J629" i="1"/>
  <c r="I629" i="1"/>
  <c r="H629" i="1"/>
  <c r="H629" i="1" a="1"/>
  <c r="G629" i="1"/>
  <c r="G629" i="1" a="1"/>
  <c r="J628" i="1"/>
  <c r="I628" i="1"/>
  <c r="H628" i="1"/>
  <c r="H628" i="1" a="1"/>
  <c r="G628" i="1"/>
  <c r="G628" i="1" a="1"/>
  <c r="J627" i="1"/>
  <c r="I627" i="1"/>
  <c r="H627" i="1"/>
  <c r="H627" i="1" a="1"/>
  <c r="G627" i="1"/>
  <c r="G627" i="1" a="1"/>
  <c r="J626" i="1"/>
  <c r="I626" i="1"/>
  <c r="H626" i="1"/>
  <c r="H626" i="1" a="1"/>
  <c r="G626" i="1"/>
  <c r="G626" i="1" a="1"/>
  <c r="J625" i="1"/>
  <c r="I625" i="1"/>
  <c r="H625" i="1"/>
  <c r="H625" i="1" a="1"/>
  <c r="G625" i="1"/>
  <c r="G625" i="1" a="1"/>
  <c r="J624" i="1"/>
  <c r="I624" i="1"/>
  <c r="H624" i="1"/>
  <c r="H624" i="1" a="1"/>
  <c r="G624" i="1"/>
  <c r="G624" i="1" a="1"/>
  <c r="J623" i="1"/>
  <c r="I623" i="1"/>
  <c r="H623" i="1"/>
  <c r="H623" i="1" a="1"/>
  <c r="G623" i="1"/>
  <c r="G623" i="1" a="1"/>
  <c r="J622" i="1"/>
  <c r="I622" i="1"/>
  <c r="H622" i="1"/>
  <c r="H622" i="1" a="1"/>
  <c r="G622" i="1"/>
  <c r="G622" i="1" a="1"/>
  <c r="J621" i="1"/>
  <c r="I621" i="1"/>
  <c r="H621" i="1"/>
  <c r="H621" i="1" a="1"/>
  <c r="G621" i="1"/>
  <c r="G621" i="1" a="1"/>
  <c r="J620" i="1"/>
  <c r="I620" i="1"/>
  <c r="H620" i="1"/>
  <c r="H620" i="1" a="1"/>
  <c r="G620" i="1"/>
  <c r="G620" i="1" a="1"/>
  <c r="J619" i="1"/>
  <c r="I619" i="1"/>
  <c r="H619" i="1"/>
  <c r="H619" i="1" a="1"/>
  <c r="G619" i="1"/>
  <c r="G619" i="1" a="1"/>
  <c r="J618" i="1"/>
  <c r="I618" i="1"/>
  <c r="H618" i="1"/>
  <c r="H618" i="1" a="1"/>
  <c r="G618" i="1"/>
  <c r="G618" i="1" a="1"/>
  <c r="J617" i="1"/>
  <c r="I617" i="1"/>
  <c r="H617" i="1"/>
  <c r="H617" i="1" a="1"/>
  <c r="G617" i="1"/>
  <c r="G617" i="1" a="1"/>
  <c r="J616" i="1"/>
  <c r="I616" i="1"/>
  <c r="H616" i="1"/>
  <c r="H616" i="1" a="1"/>
  <c r="G616" i="1"/>
  <c r="G616" i="1" a="1"/>
  <c r="J615" i="1"/>
  <c r="I615" i="1"/>
  <c r="H615" i="1"/>
  <c r="H615" i="1" a="1"/>
  <c r="G615" i="1"/>
  <c r="G615" i="1" a="1"/>
  <c r="J614" i="1"/>
  <c r="I614" i="1"/>
  <c r="H614" i="1"/>
  <c r="H614" i="1" a="1"/>
  <c r="G614" i="1"/>
  <c r="G614" i="1" a="1"/>
  <c r="J613" i="1"/>
  <c r="I613" i="1"/>
  <c r="H613" i="1"/>
  <c r="H613" i="1" a="1"/>
  <c r="G613" i="1"/>
  <c r="G613" i="1" a="1"/>
  <c r="J612" i="1"/>
  <c r="I612" i="1"/>
  <c r="H612" i="1"/>
  <c r="H612" i="1" a="1"/>
  <c r="G612" i="1"/>
  <c r="G612" i="1" a="1"/>
  <c r="J611" i="1"/>
  <c r="I611" i="1"/>
  <c r="H611" i="1"/>
  <c r="H611" i="1" a="1"/>
  <c r="G611" i="1"/>
  <c r="G611" i="1" a="1"/>
  <c r="J610" i="1"/>
  <c r="I610" i="1"/>
  <c r="H610" i="1"/>
  <c r="H610" i="1" a="1"/>
  <c r="G610" i="1"/>
  <c r="G610" i="1" a="1"/>
  <c r="J609" i="1"/>
  <c r="I609" i="1"/>
  <c r="H609" i="1"/>
  <c r="H609" i="1" a="1"/>
  <c r="G609" i="1"/>
  <c r="G609" i="1" a="1"/>
  <c r="J608" i="1"/>
  <c r="I608" i="1"/>
  <c r="H608" i="1"/>
  <c r="H608" i="1" a="1"/>
  <c r="G608" i="1"/>
  <c r="G608" i="1" a="1"/>
  <c r="J607" i="1"/>
  <c r="I607" i="1"/>
  <c r="H607" i="1"/>
  <c r="H607" i="1" a="1"/>
  <c r="G607" i="1"/>
  <c r="G607" i="1" a="1"/>
  <c r="J606" i="1"/>
  <c r="I606" i="1"/>
  <c r="H606" i="1"/>
  <c r="H606" i="1" a="1"/>
  <c r="G606" i="1"/>
  <c r="G606" i="1" a="1"/>
  <c r="J605" i="1"/>
  <c r="I605" i="1"/>
  <c r="H605" i="1"/>
  <c r="H605" i="1" a="1"/>
  <c r="G605" i="1"/>
  <c r="G605" i="1" a="1"/>
  <c r="J604" i="1"/>
  <c r="I604" i="1"/>
  <c r="H604" i="1"/>
  <c r="H604" i="1" a="1"/>
  <c r="G604" i="1"/>
  <c r="G604" i="1" a="1"/>
  <c r="J603" i="1"/>
  <c r="I603" i="1"/>
  <c r="H603" i="1"/>
  <c r="H603" i="1" a="1"/>
  <c r="G603" i="1"/>
  <c r="G603" i="1" a="1"/>
  <c r="J602" i="1"/>
  <c r="I602" i="1"/>
  <c r="H602" i="1"/>
  <c r="H602" i="1" a="1"/>
  <c r="G602" i="1"/>
  <c r="G602" i="1" a="1"/>
  <c r="J601" i="1"/>
  <c r="I601" i="1"/>
  <c r="H601" i="1"/>
  <c r="H601" i="1" a="1"/>
  <c r="G601" i="1"/>
  <c r="G601" i="1" a="1"/>
  <c r="J600" i="1"/>
  <c r="I600" i="1"/>
  <c r="H600" i="1"/>
  <c r="H600" i="1" a="1"/>
  <c r="G600" i="1"/>
  <c r="G600" i="1" a="1"/>
  <c r="J599" i="1"/>
  <c r="I599" i="1"/>
  <c r="H599" i="1"/>
  <c r="H599" i="1" a="1"/>
  <c r="G599" i="1"/>
  <c r="G599" i="1" a="1"/>
  <c r="J598" i="1"/>
  <c r="I598" i="1"/>
  <c r="H598" i="1"/>
  <c r="H598" i="1" a="1"/>
  <c r="G598" i="1"/>
  <c r="G598" i="1" a="1"/>
  <c r="J597" i="1"/>
  <c r="I597" i="1"/>
  <c r="H597" i="1"/>
  <c r="H597" i="1" a="1"/>
  <c r="G597" i="1"/>
  <c r="G597" i="1" a="1"/>
  <c r="J596" i="1"/>
  <c r="I596" i="1"/>
  <c r="H596" i="1"/>
  <c r="H596" i="1" a="1"/>
  <c r="G596" i="1"/>
  <c r="G596" i="1" a="1"/>
  <c r="J595" i="1"/>
  <c r="I595" i="1"/>
  <c r="H595" i="1"/>
  <c r="H595" i="1" a="1"/>
  <c r="G595" i="1"/>
  <c r="G595" i="1" a="1"/>
  <c r="J594" i="1"/>
  <c r="I594" i="1"/>
  <c r="H594" i="1"/>
  <c r="H594" i="1" a="1"/>
  <c r="G594" i="1"/>
  <c r="G594" i="1" a="1"/>
  <c r="J593" i="1"/>
  <c r="I593" i="1"/>
  <c r="H593" i="1"/>
  <c r="H593" i="1" a="1"/>
  <c r="G593" i="1"/>
  <c r="G593" i="1" a="1"/>
  <c r="J592" i="1"/>
  <c r="I592" i="1"/>
  <c r="H592" i="1"/>
  <c r="H592" i="1" a="1"/>
  <c r="G592" i="1"/>
  <c r="G592" i="1" a="1"/>
  <c r="J591" i="1"/>
  <c r="I591" i="1"/>
  <c r="H591" i="1"/>
  <c r="H591" i="1" a="1"/>
  <c r="G591" i="1"/>
  <c r="G591" i="1" a="1"/>
  <c r="J590" i="1"/>
  <c r="I590" i="1"/>
  <c r="H590" i="1"/>
  <c r="H590" i="1" a="1"/>
  <c r="G590" i="1"/>
  <c r="G590" i="1" a="1"/>
  <c r="J589" i="1"/>
  <c r="I589" i="1"/>
  <c r="H589" i="1"/>
  <c r="H589" i="1" a="1"/>
  <c r="G589" i="1"/>
  <c r="G589" i="1" a="1"/>
  <c r="J588" i="1"/>
  <c r="I588" i="1"/>
  <c r="H588" i="1"/>
  <c r="H588" i="1" a="1"/>
  <c r="G588" i="1"/>
  <c r="G588" i="1" a="1"/>
  <c r="J587" i="1"/>
  <c r="I587" i="1"/>
  <c r="H587" i="1"/>
  <c r="H587" i="1" a="1"/>
  <c r="G587" i="1"/>
  <c r="G587" i="1" a="1"/>
  <c r="J586" i="1"/>
  <c r="I586" i="1"/>
  <c r="H586" i="1"/>
  <c r="H586" i="1" a="1"/>
  <c r="G586" i="1"/>
  <c r="G586" i="1" a="1"/>
  <c r="J585" i="1"/>
  <c r="I585" i="1"/>
  <c r="H585" i="1"/>
  <c r="H585" i="1" a="1"/>
  <c r="G585" i="1"/>
  <c r="G585" i="1" a="1"/>
  <c r="J584" i="1"/>
  <c r="I584" i="1"/>
  <c r="H584" i="1"/>
  <c r="H584" i="1" a="1"/>
  <c r="G584" i="1"/>
  <c r="G584" i="1" a="1"/>
  <c r="J583" i="1"/>
  <c r="I583" i="1"/>
  <c r="H583" i="1"/>
  <c r="H583" i="1" a="1"/>
  <c r="G583" i="1"/>
  <c r="G583" i="1" a="1"/>
  <c r="J582" i="1"/>
  <c r="I582" i="1"/>
  <c r="H582" i="1"/>
  <c r="H582" i="1" a="1"/>
  <c r="G582" i="1"/>
  <c r="G582" i="1" a="1"/>
  <c r="J581" i="1"/>
  <c r="I581" i="1"/>
  <c r="H581" i="1"/>
  <c r="H581" i="1" a="1"/>
  <c r="G581" i="1"/>
  <c r="G581" i="1" a="1"/>
  <c r="J580" i="1"/>
  <c r="I580" i="1"/>
  <c r="H580" i="1"/>
  <c r="H580" i="1" a="1"/>
  <c r="G580" i="1"/>
  <c r="G580" i="1" a="1"/>
  <c r="J579" i="1"/>
  <c r="I579" i="1"/>
  <c r="H579" i="1"/>
  <c r="H579" i="1" a="1"/>
  <c r="G579" i="1"/>
  <c r="G579" i="1" a="1"/>
  <c r="J578" i="1"/>
  <c r="I578" i="1"/>
  <c r="H578" i="1"/>
  <c r="H578" i="1" a="1"/>
  <c r="G578" i="1"/>
  <c r="G578" i="1" a="1"/>
  <c r="J577" i="1"/>
  <c r="I577" i="1"/>
  <c r="H577" i="1"/>
  <c r="H577" i="1" a="1"/>
  <c r="G577" i="1"/>
  <c r="G577" i="1" a="1"/>
  <c r="J576" i="1"/>
  <c r="I576" i="1"/>
  <c r="H576" i="1"/>
  <c r="H576" i="1" a="1"/>
  <c r="G576" i="1"/>
  <c r="G576" i="1" a="1"/>
  <c r="J575" i="1"/>
  <c r="I575" i="1"/>
  <c r="H575" i="1"/>
  <c r="H575" i="1" a="1"/>
  <c r="G575" i="1"/>
  <c r="G575" i="1" a="1"/>
  <c r="J574" i="1"/>
  <c r="I574" i="1"/>
  <c r="H574" i="1"/>
  <c r="H574" i="1" a="1"/>
  <c r="G574" i="1"/>
  <c r="G574" i="1" a="1"/>
  <c r="J573" i="1"/>
  <c r="I573" i="1"/>
  <c r="H573" i="1"/>
  <c r="H573" i="1" a="1"/>
  <c r="G573" i="1"/>
  <c r="G573" i="1" a="1"/>
  <c r="J572" i="1"/>
  <c r="I572" i="1"/>
  <c r="H572" i="1"/>
  <c r="H572" i="1" a="1"/>
  <c r="G572" i="1"/>
  <c r="G572" i="1" a="1"/>
  <c r="J571" i="1"/>
  <c r="I571" i="1"/>
  <c r="H571" i="1"/>
  <c r="H571" i="1" a="1"/>
  <c r="G571" i="1"/>
  <c r="G571" i="1" a="1"/>
  <c r="J570" i="1"/>
  <c r="I570" i="1"/>
  <c r="H570" i="1"/>
  <c r="H570" i="1" a="1"/>
  <c r="G570" i="1"/>
  <c r="G570" i="1" a="1"/>
  <c r="J569" i="1"/>
  <c r="I569" i="1"/>
  <c r="H569" i="1"/>
  <c r="H569" i="1" a="1"/>
  <c r="G569" i="1"/>
  <c r="G569" i="1" a="1"/>
  <c r="J568" i="1"/>
  <c r="I568" i="1"/>
  <c r="H568" i="1"/>
  <c r="H568" i="1" a="1"/>
  <c r="G568" i="1"/>
  <c r="G568" i="1" a="1"/>
  <c r="J567" i="1"/>
  <c r="I567" i="1"/>
  <c r="H567" i="1"/>
  <c r="H567" i="1" a="1"/>
  <c r="G567" i="1"/>
  <c r="G567" i="1" a="1"/>
  <c r="J566" i="1"/>
  <c r="I566" i="1"/>
  <c r="H566" i="1"/>
  <c r="H566" i="1" a="1"/>
  <c r="G566" i="1"/>
  <c r="G566" i="1" a="1"/>
  <c r="J565" i="1"/>
  <c r="I565" i="1"/>
  <c r="H565" i="1"/>
  <c r="H565" i="1" a="1"/>
  <c r="G565" i="1"/>
  <c r="G565" i="1" a="1"/>
  <c r="J564" i="1"/>
  <c r="I564" i="1"/>
  <c r="H564" i="1"/>
  <c r="H564" i="1" a="1"/>
  <c r="G564" i="1"/>
  <c r="G564" i="1" a="1"/>
  <c r="J563" i="1"/>
  <c r="I563" i="1"/>
  <c r="H563" i="1"/>
  <c r="H563" i="1" a="1"/>
  <c r="G563" i="1"/>
  <c r="G563" i="1" a="1"/>
  <c r="J562" i="1"/>
  <c r="I562" i="1"/>
  <c r="H562" i="1"/>
  <c r="H562" i="1" a="1"/>
  <c r="G562" i="1"/>
  <c r="G562" i="1" a="1"/>
  <c r="J561" i="1"/>
  <c r="I561" i="1"/>
  <c r="H561" i="1"/>
  <c r="H561" i="1" a="1"/>
  <c r="G561" i="1"/>
  <c r="G561" i="1" a="1"/>
  <c r="J560" i="1"/>
  <c r="I560" i="1"/>
  <c r="H560" i="1"/>
  <c r="H560" i="1" a="1"/>
  <c r="G560" i="1"/>
  <c r="G560" i="1" a="1"/>
  <c r="J559" i="1"/>
  <c r="I559" i="1"/>
  <c r="H559" i="1"/>
  <c r="H559" i="1" a="1"/>
  <c r="G559" i="1"/>
  <c r="G559" i="1" a="1"/>
  <c r="J558" i="1"/>
  <c r="I558" i="1"/>
  <c r="H558" i="1"/>
  <c r="H558" i="1" a="1"/>
  <c r="G558" i="1"/>
  <c r="G558" i="1" a="1"/>
  <c r="J557" i="1"/>
  <c r="I557" i="1"/>
  <c r="H557" i="1"/>
  <c r="H557" i="1" a="1"/>
  <c r="G557" i="1"/>
  <c r="G557" i="1" a="1"/>
  <c r="J556" i="1"/>
  <c r="I556" i="1"/>
  <c r="H556" i="1"/>
  <c r="H556" i="1" a="1"/>
  <c r="G556" i="1"/>
  <c r="G556" i="1" a="1"/>
  <c r="J555" i="1"/>
  <c r="I555" i="1"/>
  <c r="H555" i="1"/>
  <c r="H555" i="1" a="1"/>
  <c r="G555" i="1"/>
  <c r="G555" i="1" a="1"/>
  <c r="J554" i="1"/>
  <c r="I554" i="1"/>
  <c r="H554" i="1"/>
  <c r="H554" i="1" a="1"/>
  <c r="G554" i="1"/>
  <c r="G554" i="1" a="1"/>
  <c r="J553" i="1"/>
  <c r="I553" i="1"/>
  <c r="H553" i="1"/>
  <c r="H553" i="1" a="1"/>
  <c r="G553" i="1"/>
  <c r="G553" i="1" a="1"/>
  <c r="J552" i="1"/>
  <c r="I552" i="1"/>
  <c r="H552" i="1"/>
  <c r="H552" i="1" a="1"/>
  <c r="G552" i="1"/>
  <c r="G552" i="1" a="1"/>
  <c r="J551" i="1"/>
  <c r="I551" i="1"/>
  <c r="H551" i="1"/>
  <c r="H551" i="1" a="1"/>
  <c r="G551" i="1"/>
  <c r="G551" i="1" a="1"/>
  <c r="J550" i="1"/>
  <c r="I550" i="1"/>
  <c r="H550" i="1"/>
  <c r="H550" i="1" a="1"/>
  <c r="G550" i="1"/>
  <c r="G550" i="1" a="1"/>
  <c r="J549" i="1"/>
  <c r="I549" i="1"/>
  <c r="H549" i="1"/>
  <c r="H549" i="1" a="1"/>
  <c r="G549" i="1"/>
  <c r="G549" i="1" a="1"/>
  <c r="J548" i="1"/>
  <c r="I548" i="1"/>
  <c r="H548" i="1"/>
  <c r="H548" i="1" a="1"/>
  <c r="G548" i="1"/>
  <c r="G548" i="1" a="1"/>
  <c r="J547" i="1"/>
  <c r="I547" i="1"/>
  <c r="H547" i="1"/>
  <c r="H547" i="1" a="1"/>
  <c r="G547" i="1"/>
  <c r="G547" i="1" a="1"/>
  <c r="J546" i="1"/>
  <c r="I546" i="1"/>
  <c r="H546" i="1"/>
  <c r="H546" i="1" a="1"/>
  <c r="G546" i="1"/>
  <c r="G546" i="1" a="1"/>
  <c r="J545" i="1"/>
  <c r="I545" i="1"/>
  <c r="H545" i="1"/>
  <c r="H545" i="1" a="1"/>
  <c r="G545" i="1"/>
  <c r="G545" i="1" a="1"/>
  <c r="J544" i="1"/>
  <c r="I544" i="1"/>
  <c r="H544" i="1"/>
  <c r="H544" i="1" a="1"/>
  <c r="G544" i="1"/>
  <c r="G544" i="1" a="1"/>
  <c r="J543" i="1"/>
  <c r="I543" i="1"/>
  <c r="H543" i="1"/>
  <c r="H543" i="1" a="1"/>
  <c r="G543" i="1"/>
  <c r="G543" i="1" a="1"/>
  <c r="J542" i="1"/>
  <c r="I542" i="1"/>
  <c r="H542" i="1"/>
  <c r="H542" i="1" a="1"/>
  <c r="G542" i="1"/>
  <c r="G542" i="1" a="1"/>
  <c r="J541" i="1"/>
  <c r="I541" i="1"/>
  <c r="H541" i="1"/>
  <c r="H541" i="1" a="1"/>
  <c r="G541" i="1"/>
  <c r="G541" i="1" a="1"/>
  <c r="J540" i="1"/>
  <c r="I540" i="1"/>
  <c r="H540" i="1"/>
  <c r="H540" i="1" a="1"/>
  <c r="G540" i="1"/>
  <c r="G540" i="1" a="1"/>
  <c r="J539" i="1"/>
  <c r="I539" i="1"/>
  <c r="H539" i="1"/>
  <c r="H539" i="1" a="1"/>
  <c r="G539" i="1"/>
  <c r="G539" i="1" a="1"/>
  <c r="J538" i="1"/>
  <c r="I538" i="1"/>
  <c r="H538" i="1"/>
  <c r="H538" i="1" a="1"/>
  <c r="G538" i="1"/>
  <c r="G538" i="1" a="1"/>
  <c r="J537" i="1"/>
  <c r="I537" i="1"/>
  <c r="H537" i="1"/>
  <c r="H537" i="1" a="1"/>
  <c r="G537" i="1"/>
  <c r="G537" i="1" a="1"/>
  <c r="J536" i="1"/>
  <c r="I536" i="1"/>
  <c r="H536" i="1"/>
  <c r="H536" i="1" a="1"/>
  <c r="G536" i="1"/>
  <c r="G536" i="1" a="1"/>
  <c r="J535" i="1"/>
  <c r="I535" i="1"/>
  <c r="H535" i="1"/>
  <c r="H535" i="1" a="1"/>
  <c r="G535" i="1"/>
  <c r="G535" i="1" a="1"/>
  <c r="J534" i="1"/>
  <c r="I534" i="1"/>
  <c r="H534" i="1"/>
  <c r="H534" i="1" a="1"/>
  <c r="G534" i="1"/>
  <c r="G534" i="1" a="1"/>
  <c r="J533" i="1"/>
  <c r="I533" i="1"/>
  <c r="H533" i="1"/>
  <c r="H533" i="1" a="1"/>
  <c r="G533" i="1"/>
  <c r="G533" i="1" a="1"/>
  <c r="J532" i="1"/>
  <c r="I532" i="1"/>
  <c r="H532" i="1"/>
  <c r="H532" i="1" a="1"/>
  <c r="G532" i="1"/>
  <c r="G532" i="1" a="1"/>
  <c r="J531" i="1"/>
  <c r="I531" i="1"/>
  <c r="H531" i="1"/>
  <c r="H531" i="1" a="1"/>
  <c r="G531" i="1"/>
  <c r="G531" i="1" a="1"/>
  <c r="J530" i="1"/>
  <c r="I530" i="1"/>
  <c r="H530" i="1"/>
  <c r="H530" i="1" a="1"/>
  <c r="G530" i="1"/>
  <c r="G530" i="1" a="1"/>
  <c r="J529" i="1"/>
  <c r="I529" i="1"/>
  <c r="H529" i="1"/>
  <c r="H529" i="1" a="1"/>
  <c r="G529" i="1"/>
  <c r="G529" i="1" a="1"/>
  <c r="J528" i="1"/>
  <c r="I528" i="1"/>
  <c r="H528" i="1"/>
  <c r="H528" i="1" a="1"/>
  <c r="G528" i="1"/>
  <c r="G528" i="1" a="1"/>
  <c r="J527" i="1"/>
  <c r="I527" i="1"/>
  <c r="H527" i="1"/>
  <c r="H527" i="1" a="1"/>
  <c r="G527" i="1"/>
  <c r="G527" i="1" a="1"/>
  <c r="J526" i="1"/>
  <c r="I526" i="1"/>
  <c r="H526" i="1"/>
  <c r="H526" i="1" a="1"/>
  <c r="G526" i="1"/>
  <c r="G526" i="1" a="1"/>
  <c r="J525" i="1"/>
  <c r="I525" i="1"/>
  <c r="H525" i="1"/>
  <c r="H525" i="1" a="1"/>
  <c r="G525" i="1"/>
  <c r="G525" i="1" a="1"/>
  <c r="J524" i="1"/>
  <c r="I524" i="1"/>
  <c r="H524" i="1"/>
  <c r="H524" i="1" a="1"/>
  <c r="G524" i="1"/>
  <c r="G524" i="1" a="1"/>
  <c r="J523" i="1"/>
  <c r="I523" i="1"/>
  <c r="H523" i="1"/>
  <c r="H523" i="1" a="1"/>
  <c r="G523" i="1"/>
  <c r="G523" i="1" a="1"/>
  <c r="J522" i="1"/>
  <c r="I522" i="1"/>
  <c r="H522" i="1"/>
  <c r="H522" i="1" a="1"/>
  <c r="G522" i="1"/>
  <c r="G522" i="1" a="1"/>
  <c r="J521" i="1"/>
  <c r="I521" i="1"/>
  <c r="H521" i="1"/>
  <c r="H521" i="1" a="1"/>
  <c r="G521" i="1"/>
  <c r="G521" i="1" a="1"/>
  <c r="J520" i="1"/>
  <c r="I520" i="1"/>
  <c r="H520" i="1"/>
  <c r="H520" i="1" a="1"/>
  <c r="G520" i="1"/>
  <c r="G520" i="1" a="1"/>
  <c r="J519" i="1"/>
  <c r="I519" i="1"/>
  <c r="H519" i="1"/>
  <c r="H519" i="1" a="1"/>
  <c r="G519" i="1"/>
  <c r="G519" i="1" a="1"/>
  <c r="J518" i="1"/>
  <c r="I518" i="1"/>
  <c r="H518" i="1"/>
  <c r="H518" i="1" a="1"/>
  <c r="G518" i="1"/>
  <c r="G518" i="1" a="1"/>
  <c r="J517" i="1"/>
  <c r="I517" i="1"/>
  <c r="H517" i="1"/>
  <c r="H517" i="1" a="1"/>
  <c r="G517" i="1"/>
  <c r="G517" i="1" a="1"/>
  <c r="J516" i="1"/>
  <c r="I516" i="1"/>
  <c r="H516" i="1"/>
  <c r="H516" i="1" a="1"/>
  <c r="G516" i="1"/>
  <c r="G516" i="1" a="1"/>
  <c r="J515" i="1"/>
  <c r="I515" i="1"/>
  <c r="H515" i="1"/>
  <c r="H515" i="1" a="1"/>
  <c r="G515" i="1"/>
  <c r="G515" i="1" a="1"/>
  <c r="J514" i="1"/>
  <c r="I514" i="1"/>
  <c r="H514" i="1"/>
  <c r="H514" i="1" a="1"/>
  <c r="G514" i="1"/>
  <c r="G514" i="1" a="1"/>
  <c r="J513" i="1"/>
  <c r="I513" i="1"/>
  <c r="H513" i="1"/>
  <c r="H513" i="1" a="1"/>
  <c r="G513" i="1"/>
  <c r="G513" i="1" a="1"/>
  <c r="J512" i="1"/>
  <c r="I512" i="1"/>
  <c r="H512" i="1"/>
  <c r="H512" i="1" a="1"/>
  <c r="G512" i="1"/>
  <c r="G512" i="1" a="1"/>
  <c r="J511" i="1"/>
  <c r="I511" i="1"/>
  <c r="H511" i="1"/>
  <c r="H511" i="1" a="1"/>
  <c r="G511" i="1"/>
  <c r="G511" i="1" a="1"/>
  <c r="J510" i="1"/>
  <c r="I510" i="1"/>
  <c r="H510" i="1"/>
  <c r="H510" i="1" a="1"/>
  <c r="G510" i="1"/>
  <c r="G510" i="1" a="1"/>
  <c r="J509" i="1"/>
  <c r="I509" i="1"/>
  <c r="H509" i="1"/>
  <c r="H509" i="1" a="1"/>
  <c r="G509" i="1"/>
  <c r="G509" i="1" a="1"/>
  <c r="J508" i="1"/>
  <c r="I508" i="1"/>
  <c r="H508" i="1"/>
  <c r="H508" i="1" a="1"/>
  <c r="G508" i="1"/>
  <c r="G508" i="1" a="1"/>
  <c r="J507" i="1"/>
  <c r="I507" i="1"/>
  <c r="H507" i="1"/>
  <c r="H507" i="1" a="1"/>
  <c r="G507" i="1"/>
  <c r="G507" i="1" a="1"/>
  <c r="J506" i="1"/>
  <c r="I506" i="1"/>
  <c r="H506" i="1"/>
  <c r="H506" i="1" a="1"/>
  <c r="G506" i="1"/>
  <c r="G506" i="1" a="1"/>
  <c r="J505" i="1"/>
  <c r="I505" i="1"/>
  <c r="H505" i="1"/>
  <c r="H505" i="1" a="1"/>
  <c r="G505" i="1"/>
  <c r="G505" i="1" a="1"/>
  <c r="J504" i="1"/>
  <c r="I504" i="1"/>
  <c r="H504" i="1"/>
  <c r="H504" i="1" a="1"/>
  <c r="G504" i="1"/>
  <c r="G504" i="1" a="1"/>
  <c r="J503" i="1"/>
  <c r="I503" i="1"/>
  <c r="H503" i="1"/>
  <c r="H503" i="1" a="1"/>
  <c r="G503" i="1"/>
  <c r="G503" i="1" a="1"/>
  <c r="J502" i="1"/>
  <c r="I502" i="1"/>
  <c r="H502" i="1"/>
  <c r="H502" i="1" a="1"/>
  <c r="G502" i="1"/>
  <c r="G502" i="1" a="1"/>
  <c r="J501" i="1"/>
  <c r="I501" i="1"/>
  <c r="H501" i="1"/>
  <c r="H501" i="1" a="1"/>
  <c r="G501" i="1"/>
  <c r="G501" i="1" a="1"/>
  <c r="J500" i="1"/>
  <c r="I500" i="1"/>
  <c r="H500" i="1"/>
  <c r="H500" i="1" a="1"/>
  <c r="G500" i="1"/>
  <c r="G500" i="1" a="1"/>
  <c r="J499" i="1"/>
  <c r="I499" i="1"/>
  <c r="H499" i="1"/>
  <c r="H499" i="1" a="1"/>
  <c r="G499" i="1"/>
  <c r="G499" i="1" a="1"/>
  <c r="J498" i="1"/>
  <c r="I498" i="1"/>
  <c r="H498" i="1"/>
  <c r="H498" i="1" a="1"/>
  <c r="G498" i="1"/>
  <c r="G498" i="1" a="1"/>
  <c r="J497" i="1"/>
  <c r="I497" i="1"/>
  <c r="H497" i="1"/>
  <c r="H497" i="1" a="1"/>
  <c r="G497" i="1"/>
  <c r="G497" i="1" a="1"/>
  <c r="J496" i="1"/>
  <c r="I496" i="1"/>
  <c r="H496" i="1"/>
  <c r="H496" i="1" a="1"/>
  <c r="G496" i="1"/>
  <c r="G496" i="1" a="1"/>
  <c r="J495" i="1"/>
  <c r="I495" i="1"/>
  <c r="H495" i="1"/>
  <c r="H495" i="1" a="1"/>
  <c r="G495" i="1"/>
  <c r="G495" i="1" a="1"/>
  <c r="J494" i="1"/>
  <c r="I494" i="1"/>
  <c r="H494" i="1"/>
  <c r="H494" i="1" a="1"/>
  <c r="G494" i="1"/>
  <c r="G494" i="1" a="1"/>
  <c r="J493" i="1"/>
  <c r="I493" i="1"/>
  <c r="H493" i="1"/>
  <c r="H493" i="1" a="1"/>
  <c r="G493" i="1"/>
  <c r="G493" i="1" a="1"/>
  <c r="J492" i="1"/>
  <c r="I492" i="1"/>
  <c r="H492" i="1"/>
  <c r="H492" i="1" a="1"/>
  <c r="G492" i="1"/>
  <c r="G492" i="1" a="1"/>
  <c r="J491" i="1"/>
  <c r="I491" i="1"/>
  <c r="H491" i="1"/>
  <c r="H491" i="1" a="1"/>
  <c r="G491" i="1"/>
  <c r="G491" i="1" a="1"/>
  <c r="J490" i="1"/>
  <c r="I490" i="1"/>
  <c r="H490" i="1"/>
  <c r="H490" i="1" a="1"/>
  <c r="G490" i="1"/>
  <c r="G490" i="1" a="1"/>
  <c r="J489" i="1"/>
  <c r="I489" i="1"/>
  <c r="H489" i="1"/>
  <c r="H489" i="1" a="1"/>
  <c r="G489" i="1"/>
  <c r="G489" i="1" a="1"/>
  <c r="J488" i="1"/>
  <c r="I488" i="1"/>
  <c r="H488" i="1"/>
  <c r="H488" i="1" a="1"/>
  <c r="G488" i="1"/>
  <c r="G488" i="1" a="1"/>
  <c r="J487" i="1"/>
  <c r="I487" i="1"/>
  <c r="H487" i="1"/>
  <c r="H487" i="1" a="1"/>
  <c r="G487" i="1"/>
  <c r="G487" i="1" a="1"/>
  <c r="J486" i="1"/>
  <c r="I486" i="1"/>
  <c r="H486" i="1"/>
  <c r="H486" i="1" a="1"/>
  <c r="G486" i="1"/>
  <c r="G486" i="1" a="1"/>
  <c r="J485" i="1"/>
  <c r="I485" i="1"/>
  <c r="H485" i="1"/>
  <c r="H485" i="1" a="1"/>
  <c r="G485" i="1"/>
  <c r="G485" i="1" a="1"/>
  <c r="J484" i="1"/>
  <c r="I484" i="1"/>
  <c r="H484" i="1"/>
  <c r="H484" i="1" a="1"/>
  <c r="G484" i="1"/>
  <c r="G484" i="1" a="1"/>
  <c r="J483" i="1"/>
  <c r="I483" i="1"/>
  <c r="H483" i="1"/>
  <c r="H483" i="1" a="1"/>
  <c r="G483" i="1"/>
  <c r="G483" i="1" a="1"/>
  <c r="J482" i="1"/>
  <c r="I482" i="1"/>
  <c r="H482" i="1"/>
  <c r="H482" i="1" a="1"/>
  <c r="G482" i="1"/>
  <c r="G482" i="1" a="1"/>
  <c r="J481" i="1"/>
  <c r="I481" i="1"/>
  <c r="H481" i="1"/>
  <c r="H481" i="1" a="1"/>
  <c r="G481" i="1"/>
  <c r="G481" i="1" a="1"/>
  <c r="J480" i="1"/>
  <c r="I480" i="1"/>
  <c r="H480" i="1"/>
  <c r="H480" i="1" a="1"/>
  <c r="G480" i="1"/>
  <c r="G480" i="1" a="1"/>
  <c r="J479" i="1"/>
  <c r="I479" i="1"/>
  <c r="H479" i="1"/>
  <c r="H479" i="1" a="1"/>
  <c r="G479" i="1"/>
  <c r="G479" i="1" a="1"/>
  <c r="J478" i="1"/>
  <c r="I478" i="1"/>
  <c r="H478" i="1"/>
  <c r="H478" i="1" a="1"/>
  <c r="G478" i="1"/>
  <c r="G478" i="1" a="1"/>
  <c r="J477" i="1"/>
  <c r="I477" i="1"/>
  <c r="H477" i="1"/>
  <c r="H477" i="1" a="1"/>
  <c r="G477" i="1"/>
  <c r="G477" i="1" a="1"/>
  <c r="J476" i="1"/>
  <c r="I476" i="1"/>
  <c r="H476" i="1"/>
  <c r="H476" i="1" a="1"/>
  <c r="G476" i="1"/>
  <c r="G476" i="1" a="1"/>
  <c r="J475" i="1"/>
  <c r="I475" i="1"/>
  <c r="H475" i="1"/>
  <c r="H475" i="1" a="1"/>
  <c r="G475" i="1"/>
  <c r="G475" i="1" a="1"/>
  <c r="J474" i="1"/>
  <c r="I474" i="1"/>
  <c r="H474" i="1"/>
  <c r="H474" i="1" a="1"/>
  <c r="G474" i="1"/>
  <c r="G474" i="1" a="1"/>
  <c r="J473" i="1"/>
  <c r="I473" i="1"/>
  <c r="H473" i="1"/>
  <c r="H473" i="1" a="1"/>
  <c r="G473" i="1"/>
  <c r="G473" i="1" a="1"/>
  <c r="J472" i="1"/>
  <c r="I472" i="1"/>
  <c r="H472" i="1"/>
  <c r="H472" i="1" a="1"/>
  <c r="G472" i="1"/>
  <c r="G472" i="1" a="1"/>
  <c r="J471" i="1"/>
  <c r="I471" i="1"/>
  <c r="H471" i="1"/>
  <c r="H471" i="1" a="1"/>
  <c r="G471" i="1"/>
  <c r="G471" i="1" a="1"/>
  <c r="J470" i="1"/>
  <c r="I470" i="1"/>
  <c r="H470" i="1"/>
  <c r="H470" i="1" a="1"/>
  <c r="G470" i="1"/>
  <c r="G470" i="1" a="1"/>
  <c r="J469" i="1"/>
  <c r="I469" i="1"/>
  <c r="H469" i="1"/>
  <c r="H469" i="1" a="1"/>
  <c r="G469" i="1"/>
  <c r="G469" i="1" a="1"/>
  <c r="J468" i="1"/>
  <c r="I468" i="1"/>
  <c r="H468" i="1"/>
  <c r="H468" i="1" a="1"/>
  <c r="G468" i="1"/>
  <c r="G468" i="1" a="1"/>
  <c r="J467" i="1"/>
  <c r="I467" i="1"/>
  <c r="H467" i="1"/>
  <c r="H467" i="1" a="1"/>
  <c r="G467" i="1"/>
  <c r="G467" i="1" a="1"/>
  <c r="J466" i="1"/>
  <c r="I466" i="1"/>
  <c r="H466" i="1"/>
  <c r="H466" i="1" a="1"/>
  <c r="G466" i="1"/>
  <c r="G466" i="1" a="1"/>
  <c r="J465" i="1"/>
  <c r="I465" i="1"/>
  <c r="H465" i="1"/>
  <c r="H465" i="1" a="1"/>
  <c r="G465" i="1"/>
  <c r="G465" i="1" a="1"/>
  <c r="J464" i="1"/>
  <c r="I464" i="1"/>
  <c r="H464" i="1"/>
  <c r="H464" i="1" a="1"/>
  <c r="G464" i="1"/>
  <c r="G464" i="1" a="1"/>
  <c r="J463" i="1"/>
  <c r="I463" i="1"/>
  <c r="H463" i="1"/>
  <c r="H463" i="1" a="1"/>
  <c r="G463" i="1"/>
  <c r="G463" i="1" a="1"/>
  <c r="J462" i="1"/>
  <c r="I462" i="1"/>
  <c r="H462" i="1"/>
  <c r="H462" i="1" a="1"/>
  <c r="G462" i="1"/>
  <c r="G462" i="1" a="1"/>
  <c r="J461" i="1"/>
  <c r="I461" i="1"/>
  <c r="H461" i="1"/>
  <c r="H461" i="1" a="1"/>
  <c r="G461" i="1"/>
  <c r="G461" i="1" a="1"/>
  <c r="J460" i="1"/>
  <c r="I460" i="1"/>
  <c r="H460" i="1"/>
  <c r="H460" i="1" a="1"/>
  <c r="G460" i="1"/>
  <c r="G460" i="1" a="1"/>
  <c r="J459" i="1"/>
  <c r="I459" i="1"/>
  <c r="H459" i="1"/>
  <c r="H459" i="1" a="1"/>
  <c r="G459" i="1"/>
  <c r="G459" i="1" a="1"/>
  <c r="J458" i="1"/>
  <c r="I458" i="1"/>
  <c r="H458" i="1"/>
  <c r="H458" i="1" a="1"/>
  <c r="G458" i="1"/>
  <c r="G458" i="1" a="1"/>
  <c r="J457" i="1"/>
  <c r="I457" i="1"/>
  <c r="H457" i="1"/>
  <c r="H457" i="1" a="1"/>
  <c r="G457" i="1"/>
  <c r="G457" i="1" a="1"/>
  <c r="J456" i="1"/>
  <c r="I456" i="1"/>
  <c r="H456" i="1"/>
  <c r="H456" i="1" a="1"/>
  <c r="G456" i="1"/>
  <c r="G456" i="1" a="1"/>
  <c r="J455" i="1"/>
  <c r="I455" i="1"/>
  <c r="H455" i="1"/>
  <c r="H455" i="1" a="1"/>
  <c r="G455" i="1"/>
  <c r="G455" i="1" a="1"/>
  <c r="J454" i="1"/>
  <c r="I454" i="1"/>
  <c r="H454" i="1"/>
  <c r="H454" i="1" a="1"/>
  <c r="G454" i="1"/>
  <c r="G454" i="1" a="1"/>
  <c r="J453" i="1"/>
  <c r="I453" i="1"/>
  <c r="H453" i="1"/>
  <c r="H453" i="1" a="1"/>
  <c r="G453" i="1"/>
  <c r="G453" i="1" a="1"/>
  <c r="J452" i="1"/>
  <c r="I452" i="1"/>
  <c r="H452" i="1"/>
  <c r="H452" i="1" a="1"/>
  <c r="G452" i="1"/>
  <c r="G452" i="1" a="1"/>
  <c r="J451" i="1"/>
  <c r="I451" i="1"/>
  <c r="H451" i="1"/>
  <c r="H451" i="1" a="1"/>
  <c r="G451" i="1"/>
  <c r="G451" i="1" a="1"/>
  <c r="J450" i="1"/>
  <c r="I450" i="1"/>
  <c r="H450" i="1"/>
  <c r="H450" i="1" a="1"/>
  <c r="G450" i="1"/>
  <c r="G450" i="1" a="1"/>
  <c r="J449" i="1"/>
  <c r="I449" i="1"/>
  <c r="H449" i="1"/>
  <c r="H449" i="1" a="1"/>
  <c r="G449" i="1"/>
  <c r="G449" i="1" a="1"/>
  <c r="J448" i="1"/>
  <c r="I448" i="1"/>
  <c r="H448" i="1"/>
  <c r="H448" i="1" a="1"/>
  <c r="G448" i="1"/>
  <c r="G448" i="1" a="1"/>
  <c r="J447" i="1"/>
  <c r="I447" i="1"/>
  <c r="H447" i="1"/>
  <c r="H447" i="1" a="1"/>
  <c r="G447" i="1"/>
  <c r="G447" i="1" a="1"/>
  <c r="J446" i="1"/>
  <c r="I446" i="1"/>
  <c r="H446" i="1"/>
  <c r="H446" i="1" a="1"/>
  <c r="G446" i="1"/>
  <c r="G446" i="1" a="1"/>
  <c r="J445" i="1"/>
  <c r="I445" i="1"/>
  <c r="H445" i="1"/>
  <c r="H445" i="1" a="1"/>
  <c r="G445" i="1"/>
  <c r="G445" i="1" a="1"/>
  <c r="J444" i="1"/>
  <c r="I444" i="1"/>
  <c r="H444" i="1"/>
  <c r="H444" i="1" a="1"/>
  <c r="G444" i="1"/>
  <c r="G444" i="1" a="1"/>
  <c r="J443" i="1"/>
  <c r="I443" i="1"/>
  <c r="H443" i="1"/>
  <c r="H443" i="1" a="1"/>
  <c r="G443" i="1"/>
  <c r="G443" i="1" a="1"/>
  <c r="J442" i="1"/>
  <c r="I442" i="1"/>
  <c r="H442" i="1"/>
  <c r="H442" i="1" a="1"/>
  <c r="G442" i="1"/>
  <c r="G442" i="1" a="1"/>
  <c r="J441" i="1"/>
  <c r="I441" i="1"/>
  <c r="H441" i="1"/>
  <c r="H441" i="1" a="1"/>
  <c r="G441" i="1"/>
  <c r="G441" i="1" a="1"/>
  <c r="J440" i="1"/>
  <c r="I440" i="1"/>
  <c r="H440" i="1"/>
  <c r="H440" i="1" a="1"/>
  <c r="G440" i="1"/>
  <c r="G440" i="1" a="1"/>
  <c r="J439" i="1"/>
  <c r="I439" i="1"/>
  <c r="H439" i="1"/>
  <c r="H439" i="1" a="1"/>
  <c r="G439" i="1"/>
  <c r="G439" i="1" a="1"/>
  <c r="J438" i="1"/>
  <c r="I438" i="1"/>
  <c r="H438" i="1"/>
  <c r="H438" i="1" a="1"/>
  <c r="G438" i="1"/>
  <c r="G438" i="1" a="1"/>
  <c r="J437" i="1"/>
  <c r="I437" i="1"/>
  <c r="H437" i="1"/>
  <c r="H437" i="1" a="1"/>
  <c r="G437" i="1"/>
  <c r="G437" i="1" a="1"/>
  <c r="J436" i="1"/>
  <c r="I436" i="1"/>
  <c r="H436" i="1"/>
  <c r="H436" i="1" a="1"/>
  <c r="G436" i="1"/>
  <c r="G436" i="1" a="1"/>
  <c r="J435" i="1"/>
  <c r="I435" i="1"/>
  <c r="H435" i="1"/>
  <c r="H435" i="1" a="1"/>
  <c r="G435" i="1"/>
  <c r="G435" i="1" a="1"/>
  <c r="J434" i="1"/>
  <c r="I434" i="1"/>
  <c r="H434" i="1"/>
  <c r="H434" i="1" a="1"/>
  <c r="G434" i="1"/>
  <c r="G434" i="1" a="1"/>
  <c r="J433" i="1"/>
  <c r="I433" i="1"/>
  <c r="H433" i="1"/>
  <c r="H433" i="1" a="1"/>
  <c r="G433" i="1"/>
  <c r="G433" i="1" a="1"/>
  <c r="J432" i="1"/>
  <c r="I432" i="1"/>
  <c r="H432" i="1"/>
  <c r="H432" i="1" a="1"/>
  <c r="G432" i="1"/>
  <c r="G432" i="1" a="1"/>
  <c r="J431" i="1"/>
  <c r="I431" i="1"/>
  <c r="H431" i="1"/>
  <c r="H431" i="1" a="1"/>
  <c r="G431" i="1"/>
  <c r="G431" i="1" a="1"/>
  <c r="J430" i="1"/>
  <c r="I430" i="1"/>
  <c r="H430" i="1"/>
  <c r="H430" i="1" a="1"/>
  <c r="G430" i="1"/>
  <c r="G430" i="1" a="1"/>
  <c r="J429" i="1"/>
  <c r="I429" i="1"/>
  <c r="H429" i="1"/>
  <c r="H429" i="1" a="1"/>
  <c r="G429" i="1"/>
  <c r="G429" i="1" a="1"/>
  <c r="J428" i="1"/>
  <c r="I428" i="1"/>
  <c r="H428" i="1"/>
  <c r="H428" i="1" a="1"/>
  <c r="G428" i="1"/>
  <c r="G428" i="1" a="1"/>
  <c r="J427" i="1"/>
  <c r="I427" i="1"/>
  <c r="H427" i="1"/>
  <c r="H427" i="1" a="1"/>
  <c r="G427" i="1"/>
  <c r="G427" i="1" a="1"/>
  <c r="J426" i="1"/>
  <c r="I426" i="1"/>
  <c r="H426" i="1"/>
  <c r="H426" i="1" a="1"/>
  <c r="G426" i="1"/>
  <c r="G426" i="1" a="1"/>
  <c r="J425" i="1"/>
  <c r="I425" i="1"/>
  <c r="H425" i="1"/>
  <c r="H425" i="1" a="1"/>
  <c r="G425" i="1"/>
  <c r="G425" i="1" a="1"/>
  <c r="J424" i="1"/>
  <c r="I424" i="1"/>
  <c r="H424" i="1"/>
  <c r="H424" i="1" a="1"/>
  <c r="G424" i="1"/>
  <c r="G424" i="1" a="1"/>
  <c r="J423" i="1"/>
  <c r="I423" i="1"/>
  <c r="H423" i="1"/>
  <c r="H423" i="1" a="1"/>
  <c r="G423" i="1"/>
  <c r="G423" i="1" a="1"/>
  <c r="J422" i="1"/>
  <c r="I422" i="1"/>
  <c r="H422" i="1"/>
  <c r="H422" i="1" a="1"/>
  <c r="G422" i="1"/>
  <c r="G422" i="1" a="1"/>
  <c r="J421" i="1"/>
  <c r="I421" i="1"/>
  <c r="H421" i="1"/>
  <c r="H421" i="1" a="1"/>
  <c r="G421" i="1"/>
  <c r="G421" i="1" a="1"/>
  <c r="J420" i="1"/>
  <c r="I420" i="1"/>
  <c r="H420" i="1"/>
  <c r="H420" i="1" a="1"/>
  <c r="G420" i="1"/>
  <c r="G420" i="1" a="1"/>
  <c r="J419" i="1"/>
  <c r="I419" i="1"/>
  <c r="H419" i="1"/>
  <c r="H419" i="1" a="1"/>
  <c r="G419" i="1"/>
  <c r="G419" i="1" a="1"/>
  <c r="J418" i="1"/>
  <c r="I418" i="1"/>
  <c r="H418" i="1"/>
  <c r="H418" i="1" a="1"/>
  <c r="G418" i="1"/>
  <c r="G418" i="1" a="1"/>
  <c r="J417" i="1"/>
  <c r="I417" i="1"/>
  <c r="H417" i="1"/>
  <c r="H417" i="1" a="1"/>
  <c r="G417" i="1"/>
  <c r="G417" i="1" a="1"/>
  <c r="J416" i="1"/>
  <c r="I416" i="1"/>
  <c r="H416" i="1"/>
  <c r="H416" i="1" a="1"/>
  <c r="G416" i="1"/>
  <c r="G416" i="1" a="1"/>
  <c r="J415" i="1"/>
  <c r="I415" i="1"/>
  <c r="H415" i="1"/>
  <c r="H415" i="1" a="1"/>
  <c r="G415" i="1"/>
  <c r="G415" i="1" a="1"/>
  <c r="J414" i="1"/>
  <c r="I414" i="1"/>
  <c r="H414" i="1"/>
  <c r="H414" i="1" a="1"/>
  <c r="G414" i="1"/>
  <c r="G414" i="1" a="1"/>
  <c r="J413" i="1"/>
  <c r="I413" i="1"/>
  <c r="H413" i="1"/>
  <c r="H413" i="1" a="1"/>
  <c r="G413" i="1"/>
  <c r="G413" i="1" a="1"/>
  <c r="J412" i="1"/>
  <c r="I412" i="1"/>
  <c r="H412" i="1"/>
  <c r="H412" i="1" a="1"/>
  <c r="G412" i="1"/>
  <c r="G412" i="1" a="1"/>
  <c r="J411" i="1"/>
  <c r="I411" i="1"/>
  <c r="H411" i="1"/>
  <c r="H411" i="1" a="1"/>
  <c r="G411" i="1"/>
  <c r="G411" i="1" a="1"/>
  <c r="J410" i="1"/>
  <c r="I410" i="1"/>
  <c r="H410" i="1"/>
  <c r="H410" i="1" a="1"/>
  <c r="G410" i="1"/>
  <c r="G410" i="1" a="1"/>
  <c r="J409" i="1"/>
  <c r="I409" i="1"/>
  <c r="H409" i="1"/>
  <c r="H409" i="1" a="1"/>
  <c r="G409" i="1"/>
  <c r="G409" i="1" a="1"/>
  <c r="J408" i="1"/>
  <c r="I408" i="1"/>
  <c r="H408" i="1"/>
  <c r="H408" i="1" a="1"/>
  <c r="G408" i="1"/>
  <c r="G408" i="1" a="1"/>
  <c r="J407" i="1"/>
  <c r="I407" i="1"/>
  <c r="H407" i="1"/>
  <c r="H407" i="1" a="1"/>
  <c r="G407" i="1"/>
  <c r="G407" i="1" a="1"/>
  <c r="J406" i="1"/>
  <c r="I406" i="1"/>
  <c r="H406" i="1"/>
  <c r="H406" i="1" a="1"/>
  <c r="G406" i="1"/>
  <c r="G406" i="1" a="1"/>
  <c r="J405" i="1"/>
  <c r="I405" i="1"/>
  <c r="H405" i="1"/>
  <c r="H405" i="1" a="1"/>
  <c r="G405" i="1"/>
  <c r="G405" i="1" a="1"/>
  <c r="J404" i="1"/>
  <c r="I404" i="1"/>
  <c r="H404" i="1"/>
  <c r="H404" i="1" a="1"/>
  <c r="G404" i="1"/>
  <c r="G404" i="1" a="1"/>
  <c r="J403" i="1"/>
  <c r="I403" i="1"/>
  <c r="H403" i="1"/>
  <c r="H403" i="1" a="1"/>
  <c r="G403" i="1"/>
  <c r="G403" i="1" a="1"/>
  <c r="J402" i="1"/>
  <c r="I402" i="1"/>
  <c r="H402" i="1"/>
  <c r="H402" i="1" a="1"/>
  <c r="G402" i="1"/>
  <c r="G402" i="1" a="1"/>
  <c r="J401" i="1"/>
  <c r="I401" i="1"/>
  <c r="H401" i="1"/>
  <c r="H401" i="1" a="1"/>
  <c r="G401" i="1"/>
  <c r="G401" i="1" a="1"/>
  <c r="J400" i="1"/>
  <c r="I400" i="1"/>
  <c r="H400" i="1"/>
  <c r="H400" i="1" a="1"/>
  <c r="G400" i="1"/>
  <c r="G400" i="1" a="1"/>
  <c r="J399" i="1"/>
  <c r="I399" i="1"/>
  <c r="H399" i="1"/>
  <c r="H399" i="1" a="1"/>
  <c r="G399" i="1"/>
  <c r="G399" i="1" a="1"/>
  <c r="J398" i="1"/>
  <c r="I398" i="1"/>
  <c r="H398" i="1"/>
  <c r="H398" i="1" a="1"/>
  <c r="G398" i="1"/>
  <c r="G398" i="1" a="1"/>
  <c r="J397" i="1"/>
  <c r="I397" i="1"/>
  <c r="H397" i="1"/>
  <c r="H397" i="1" a="1"/>
  <c r="G397" i="1"/>
  <c r="G397" i="1" a="1"/>
  <c r="J396" i="1"/>
  <c r="I396" i="1"/>
  <c r="H396" i="1"/>
  <c r="H396" i="1" a="1"/>
  <c r="G396" i="1"/>
  <c r="G396" i="1" a="1"/>
  <c r="J395" i="1"/>
  <c r="I395" i="1"/>
  <c r="H395" i="1"/>
  <c r="H395" i="1" a="1"/>
  <c r="G395" i="1"/>
  <c r="G395" i="1" a="1"/>
  <c r="J394" i="1"/>
  <c r="I394" i="1"/>
  <c r="H394" i="1"/>
  <c r="H394" i="1" a="1"/>
  <c r="G394" i="1"/>
  <c r="G394" i="1" a="1"/>
  <c r="J393" i="1"/>
  <c r="I393" i="1"/>
  <c r="H393" i="1"/>
  <c r="H393" i="1" a="1"/>
  <c r="G393" i="1"/>
  <c r="G393" i="1" a="1"/>
  <c r="J392" i="1"/>
  <c r="I392" i="1"/>
  <c r="H392" i="1"/>
  <c r="H392" i="1" a="1"/>
  <c r="G392" i="1"/>
  <c r="G392" i="1" a="1"/>
  <c r="J391" i="1"/>
  <c r="I391" i="1"/>
  <c r="H391" i="1"/>
  <c r="H391" i="1" a="1"/>
  <c r="G391" i="1"/>
  <c r="G391" i="1" a="1"/>
  <c r="J390" i="1"/>
  <c r="I390" i="1"/>
  <c r="H390" i="1"/>
  <c r="H390" i="1" a="1"/>
  <c r="G390" i="1"/>
  <c r="G390" i="1" a="1"/>
  <c r="J389" i="1"/>
  <c r="I389" i="1"/>
  <c r="H389" i="1"/>
  <c r="H389" i="1" a="1"/>
  <c r="G389" i="1"/>
  <c r="G389" i="1" a="1"/>
  <c r="J388" i="1"/>
  <c r="I388" i="1"/>
  <c r="H388" i="1"/>
  <c r="H388" i="1" a="1"/>
  <c r="G388" i="1"/>
  <c r="G388" i="1" a="1"/>
  <c r="J387" i="1"/>
  <c r="I387" i="1"/>
  <c r="H387" i="1"/>
  <c r="H387" i="1" a="1"/>
  <c r="G387" i="1"/>
  <c r="G387" i="1" a="1"/>
  <c r="J386" i="1"/>
  <c r="I386" i="1"/>
  <c r="H386" i="1"/>
  <c r="H386" i="1" a="1"/>
  <c r="G386" i="1"/>
  <c r="G386" i="1" a="1"/>
  <c r="J385" i="1"/>
  <c r="I385" i="1"/>
  <c r="H385" i="1"/>
  <c r="H385" i="1" a="1"/>
  <c r="G385" i="1"/>
  <c r="G385" i="1" a="1"/>
  <c r="J384" i="1"/>
  <c r="I384" i="1"/>
  <c r="H384" i="1"/>
  <c r="H384" i="1" a="1"/>
  <c r="G384" i="1"/>
  <c r="G384" i="1" a="1"/>
  <c r="J383" i="1"/>
  <c r="I383" i="1"/>
  <c r="H383" i="1"/>
  <c r="H383" i="1" a="1"/>
  <c r="G383" i="1"/>
  <c r="G383" i="1" a="1"/>
  <c r="J382" i="1"/>
  <c r="I382" i="1"/>
  <c r="H382" i="1"/>
  <c r="H382" i="1" a="1"/>
  <c r="G382" i="1"/>
  <c r="G382" i="1" a="1"/>
  <c r="J381" i="1"/>
  <c r="I381" i="1"/>
  <c r="H381" i="1"/>
  <c r="H381" i="1" a="1"/>
  <c r="G381" i="1"/>
  <c r="G381" i="1" a="1"/>
  <c r="J380" i="1"/>
  <c r="I380" i="1"/>
  <c r="H380" i="1"/>
  <c r="H380" i="1" a="1"/>
  <c r="G380" i="1"/>
  <c r="G380" i="1" a="1"/>
  <c r="J379" i="1"/>
  <c r="I379" i="1"/>
  <c r="H379" i="1"/>
  <c r="H379" i="1" a="1"/>
  <c r="G379" i="1"/>
  <c r="G379" i="1" a="1"/>
  <c r="J378" i="1"/>
  <c r="I378" i="1"/>
  <c r="H378" i="1"/>
  <c r="H378" i="1" a="1"/>
  <c r="G378" i="1"/>
  <c r="G378" i="1" a="1"/>
  <c r="J377" i="1"/>
  <c r="I377" i="1"/>
  <c r="H377" i="1"/>
  <c r="H377" i="1" a="1"/>
  <c r="G377" i="1"/>
  <c r="G377" i="1" a="1"/>
  <c r="J376" i="1"/>
  <c r="I376" i="1"/>
  <c r="H376" i="1"/>
  <c r="H376" i="1" a="1"/>
  <c r="G376" i="1"/>
  <c r="G376" i="1" a="1"/>
  <c r="J375" i="1"/>
  <c r="I375" i="1"/>
  <c r="H375" i="1"/>
  <c r="H375" i="1" a="1"/>
  <c r="G375" i="1"/>
  <c r="G375" i="1" a="1"/>
  <c r="J374" i="1"/>
  <c r="I374" i="1"/>
  <c r="H374" i="1"/>
  <c r="H374" i="1" a="1"/>
  <c r="G374" i="1"/>
  <c r="G374" i="1" a="1"/>
  <c r="J373" i="1"/>
  <c r="I373" i="1"/>
  <c r="H373" i="1"/>
  <c r="H373" i="1" a="1"/>
  <c r="G373" i="1"/>
  <c r="G373" i="1" a="1"/>
  <c r="J372" i="1"/>
  <c r="I372" i="1"/>
  <c r="H372" i="1"/>
  <c r="H372" i="1" a="1"/>
  <c r="G372" i="1"/>
  <c r="G372" i="1" a="1"/>
  <c r="J371" i="1"/>
  <c r="I371" i="1"/>
  <c r="H371" i="1"/>
  <c r="H371" i="1" a="1"/>
  <c r="G371" i="1"/>
  <c r="G371" i="1" a="1"/>
  <c r="J370" i="1"/>
  <c r="I370" i="1"/>
  <c r="H370" i="1"/>
  <c r="H370" i="1" a="1"/>
  <c r="G370" i="1"/>
  <c r="G370" i="1" a="1"/>
  <c r="J369" i="1"/>
  <c r="I369" i="1"/>
  <c r="H369" i="1"/>
  <c r="H369" i="1" a="1"/>
  <c r="G369" i="1"/>
  <c r="G369" i="1" a="1"/>
  <c r="J368" i="1"/>
  <c r="I368" i="1"/>
  <c r="H368" i="1"/>
  <c r="H368" i="1" a="1"/>
  <c r="G368" i="1"/>
  <c r="G368" i="1" a="1"/>
  <c r="J367" i="1"/>
  <c r="I367" i="1"/>
  <c r="H367" i="1"/>
  <c r="H367" i="1" a="1"/>
  <c r="G367" i="1"/>
  <c r="G367" i="1" a="1"/>
  <c r="J366" i="1"/>
  <c r="I366" i="1"/>
  <c r="H366" i="1"/>
  <c r="H366" i="1" a="1"/>
  <c r="G366" i="1"/>
  <c r="G366" i="1" a="1"/>
  <c r="J365" i="1"/>
  <c r="I365" i="1"/>
  <c r="H365" i="1"/>
  <c r="H365" i="1" a="1"/>
  <c r="G365" i="1"/>
  <c r="G365" i="1" a="1"/>
  <c r="J364" i="1"/>
  <c r="I364" i="1"/>
  <c r="H364" i="1"/>
  <c r="H364" i="1" a="1"/>
  <c r="G364" i="1"/>
  <c r="G364" i="1" a="1"/>
  <c r="J363" i="1"/>
  <c r="I363" i="1"/>
  <c r="H363" i="1"/>
  <c r="H363" i="1" a="1"/>
  <c r="G363" i="1"/>
  <c r="G363" i="1" a="1"/>
  <c r="J362" i="1"/>
  <c r="I362" i="1"/>
  <c r="H362" i="1"/>
  <c r="H362" i="1" a="1"/>
  <c r="G362" i="1"/>
  <c r="G362" i="1" a="1"/>
  <c r="J361" i="1"/>
  <c r="I361" i="1"/>
  <c r="H361" i="1"/>
  <c r="H361" i="1" a="1"/>
  <c r="G361" i="1"/>
  <c r="G361" i="1" a="1"/>
  <c r="J360" i="1"/>
  <c r="I360" i="1"/>
  <c r="H360" i="1"/>
  <c r="H360" i="1" a="1"/>
  <c r="G360" i="1"/>
  <c r="G360" i="1" a="1"/>
  <c r="J359" i="1"/>
  <c r="I359" i="1"/>
  <c r="H359" i="1"/>
  <c r="H359" i="1" a="1"/>
  <c r="G359" i="1"/>
  <c r="G359" i="1" a="1"/>
  <c r="J358" i="1"/>
  <c r="I358" i="1"/>
  <c r="H358" i="1"/>
  <c r="H358" i="1" a="1"/>
  <c r="G358" i="1"/>
  <c r="G358" i="1" a="1"/>
  <c r="J357" i="1"/>
  <c r="I357" i="1"/>
  <c r="H357" i="1"/>
  <c r="H357" i="1" a="1"/>
  <c r="G357" i="1"/>
  <c r="G357" i="1" a="1"/>
  <c r="J356" i="1"/>
  <c r="I356" i="1"/>
  <c r="H356" i="1"/>
  <c r="H356" i="1" a="1"/>
  <c r="G356" i="1"/>
  <c r="G356" i="1" a="1"/>
  <c r="J355" i="1"/>
  <c r="I355" i="1"/>
  <c r="H355" i="1"/>
  <c r="H355" i="1" a="1"/>
  <c r="G355" i="1"/>
  <c r="G355" i="1" a="1"/>
  <c r="J354" i="1"/>
  <c r="I354" i="1"/>
  <c r="H354" i="1"/>
  <c r="H354" i="1" a="1"/>
  <c r="G354" i="1"/>
  <c r="G354" i="1" a="1"/>
  <c r="J353" i="1"/>
  <c r="I353" i="1"/>
  <c r="H353" i="1"/>
  <c r="H353" i="1" a="1"/>
  <c r="G353" i="1"/>
  <c r="G353" i="1" a="1"/>
  <c r="J352" i="1"/>
  <c r="I352" i="1"/>
  <c r="H352" i="1"/>
  <c r="H352" i="1" a="1"/>
  <c r="G352" i="1"/>
  <c r="G352" i="1" a="1"/>
  <c r="J351" i="1"/>
  <c r="I351" i="1"/>
  <c r="H351" i="1"/>
  <c r="H351" i="1" a="1"/>
  <c r="G351" i="1"/>
  <c r="G351" i="1" a="1"/>
  <c r="J350" i="1"/>
  <c r="I350" i="1"/>
  <c r="H350" i="1"/>
  <c r="H350" i="1" a="1"/>
  <c r="G350" i="1"/>
  <c r="G350" i="1" a="1"/>
  <c r="J349" i="1"/>
  <c r="I349" i="1"/>
  <c r="H349" i="1"/>
  <c r="H349" i="1" a="1"/>
  <c r="G349" i="1"/>
  <c r="G349" i="1" a="1"/>
  <c r="J348" i="1"/>
  <c r="I348" i="1"/>
  <c r="H348" i="1"/>
  <c r="H348" i="1" a="1"/>
  <c r="G348" i="1"/>
  <c r="G348" i="1" a="1"/>
  <c r="J347" i="1"/>
  <c r="I347" i="1"/>
  <c r="H347" i="1"/>
  <c r="H347" i="1" a="1"/>
  <c r="G347" i="1"/>
  <c r="G347" i="1" a="1"/>
  <c r="J346" i="1"/>
  <c r="I346" i="1"/>
  <c r="H346" i="1"/>
  <c r="H346" i="1" a="1"/>
  <c r="G346" i="1"/>
  <c r="G346" i="1" a="1"/>
  <c r="J345" i="1"/>
  <c r="I345" i="1"/>
  <c r="H345" i="1"/>
  <c r="H345" i="1" a="1"/>
  <c r="G345" i="1"/>
  <c r="G345" i="1" a="1"/>
  <c r="J344" i="1"/>
  <c r="I344" i="1"/>
  <c r="H344" i="1"/>
  <c r="H344" i="1" a="1"/>
  <c r="G344" i="1"/>
  <c r="G344" i="1" a="1"/>
  <c r="J343" i="1"/>
  <c r="I343" i="1"/>
  <c r="H343" i="1"/>
  <c r="H343" i="1" a="1"/>
  <c r="G343" i="1"/>
  <c r="G343" i="1" a="1"/>
  <c r="J342" i="1"/>
  <c r="I342" i="1"/>
  <c r="H342" i="1"/>
  <c r="H342" i="1" a="1"/>
  <c r="G342" i="1"/>
  <c r="G342" i="1" a="1"/>
  <c r="J341" i="1"/>
  <c r="I341" i="1"/>
  <c r="H341" i="1"/>
  <c r="H341" i="1" a="1"/>
  <c r="G341" i="1"/>
  <c r="G341" i="1" a="1"/>
  <c r="J340" i="1"/>
  <c r="I340" i="1"/>
  <c r="H340" i="1"/>
  <c r="H340" i="1" a="1"/>
  <c r="G340" i="1"/>
  <c r="G340" i="1" a="1"/>
  <c r="J339" i="1"/>
  <c r="I339" i="1"/>
  <c r="H339" i="1"/>
  <c r="H339" i="1" a="1"/>
  <c r="G339" i="1"/>
  <c r="G339" i="1" a="1"/>
  <c r="J338" i="1"/>
  <c r="I338" i="1"/>
  <c r="H338" i="1"/>
  <c r="H338" i="1" a="1"/>
  <c r="G338" i="1"/>
  <c r="G338" i="1" a="1"/>
  <c r="J337" i="1"/>
  <c r="I337" i="1"/>
  <c r="H337" i="1"/>
  <c r="H337" i="1" a="1"/>
  <c r="G337" i="1"/>
  <c r="G337" i="1" a="1"/>
  <c r="J336" i="1"/>
  <c r="I336" i="1"/>
  <c r="H336" i="1"/>
  <c r="H336" i="1" a="1"/>
  <c r="G336" i="1"/>
  <c r="G336" i="1" a="1"/>
  <c r="J335" i="1"/>
  <c r="I335" i="1"/>
  <c r="H335" i="1"/>
  <c r="H335" i="1" a="1"/>
  <c r="G335" i="1"/>
  <c r="G335" i="1" a="1"/>
  <c r="J334" i="1"/>
  <c r="I334" i="1"/>
  <c r="H334" i="1"/>
  <c r="H334" i="1" a="1"/>
  <c r="G334" i="1"/>
  <c r="G334" i="1" a="1"/>
  <c r="J333" i="1"/>
  <c r="I333" i="1"/>
  <c r="H333" i="1"/>
  <c r="H333" i="1" a="1"/>
  <c r="G333" i="1"/>
  <c r="G333" i="1" a="1"/>
  <c r="J332" i="1"/>
  <c r="I332" i="1"/>
  <c r="H332" i="1"/>
  <c r="H332" i="1" a="1"/>
  <c r="G332" i="1"/>
  <c r="G332" i="1" a="1"/>
  <c r="J331" i="1"/>
  <c r="I331" i="1"/>
  <c r="H331" i="1"/>
  <c r="H331" i="1" a="1"/>
  <c r="G331" i="1"/>
  <c r="G331" i="1" a="1"/>
  <c r="J330" i="1"/>
  <c r="I330" i="1"/>
  <c r="H330" i="1"/>
  <c r="H330" i="1" a="1"/>
  <c r="G330" i="1"/>
  <c r="G330" i="1" a="1"/>
  <c r="J329" i="1"/>
  <c r="I329" i="1"/>
  <c r="H329" i="1"/>
  <c r="H329" i="1" a="1"/>
  <c r="G329" i="1"/>
  <c r="G329" i="1" a="1"/>
  <c r="J328" i="1"/>
  <c r="I328" i="1"/>
  <c r="H328" i="1"/>
  <c r="H328" i="1" a="1"/>
  <c r="G328" i="1"/>
  <c r="G328" i="1" a="1"/>
  <c r="J327" i="1"/>
  <c r="I327" i="1"/>
  <c r="H327" i="1"/>
  <c r="H327" i="1" a="1"/>
  <c r="G327" i="1"/>
  <c r="G327" i="1" a="1"/>
  <c r="J326" i="1"/>
  <c r="I326" i="1"/>
  <c r="H326" i="1"/>
  <c r="H326" i="1" a="1"/>
  <c r="G326" i="1"/>
  <c r="G326" i="1" a="1"/>
  <c r="J325" i="1"/>
  <c r="I325" i="1"/>
  <c r="H325" i="1"/>
  <c r="H325" i="1" a="1"/>
  <c r="G325" i="1"/>
  <c r="G325" i="1" a="1"/>
  <c r="J324" i="1"/>
  <c r="I324" i="1"/>
  <c r="H324" i="1"/>
  <c r="H324" i="1" a="1"/>
  <c r="G324" i="1"/>
  <c r="G324" i="1" a="1"/>
  <c r="J323" i="1"/>
  <c r="I323" i="1"/>
  <c r="H323" i="1"/>
  <c r="H323" i="1" a="1"/>
  <c r="G323" i="1"/>
  <c r="G323" i="1" a="1"/>
  <c r="J322" i="1"/>
  <c r="I322" i="1"/>
  <c r="H322" i="1"/>
  <c r="H322" i="1" a="1"/>
  <c r="G322" i="1"/>
  <c r="G322" i="1" a="1"/>
  <c r="J321" i="1"/>
  <c r="I321" i="1"/>
  <c r="H321" i="1"/>
  <c r="H321" i="1" a="1"/>
  <c r="G321" i="1"/>
  <c r="G321" i="1" a="1"/>
  <c r="J320" i="1"/>
  <c r="I320" i="1"/>
  <c r="H320" i="1"/>
  <c r="H320" i="1" a="1"/>
  <c r="G320" i="1"/>
  <c r="G320" i="1" a="1"/>
  <c r="J319" i="1"/>
  <c r="I319" i="1"/>
  <c r="H319" i="1"/>
  <c r="H319" i="1" a="1"/>
  <c r="G319" i="1"/>
  <c r="G319" i="1" a="1"/>
  <c r="J318" i="1"/>
  <c r="I318" i="1"/>
  <c r="H318" i="1"/>
  <c r="H318" i="1" a="1"/>
  <c r="G318" i="1"/>
  <c r="G318" i="1" a="1"/>
  <c r="J317" i="1"/>
  <c r="I317" i="1"/>
  <c r="H317" i="1"/>
  <c r="H317" i="1" a="1"/>
  <c r="G317" i="1"/>
  <c r="G317" i="1" a="1"/>
  <c r="J316" i="1"/>
  <c r="I316" i="1"/>
  <c r="H316" i="1"/>
  <c r="H316" i="1" a="1"/>
  <c r="G316" i="1"/>
  <c r="G316" i="1" a="1"/>
  <c r="J315" i="1"/>
  <c r="I315" i="1"/>
  <c r="H315" i="1"/>
  <c r="H315" i="1" a="1"/>
  <c r="G315" i="1"/>
  <c r="G315" i="1" a="1"/>
  <c r="J314" i="1"/>
  <c r="I314" i="1"/>
  <c r="H314" i="1"/>
  <c r="H314" i="1" a="1"/>
  <c r="G314" i="1"/>
  <c r="G314" i="1" a="1"/>
  <c r="J313" i="1"/>
  <c r="I313" i="1"/>
  <c r="H313" i="1"/>
  <c r="H313" i="1" a="1"/>
  <c r="G313" i="1"/>
  <c r="G313" i="1" a="1"/>
  <c r="J312" i="1"/>
  <c r="I312" i="1"/>
  <c r="H312" i="1"/>
  <c r="H312" i="1" a="1"/>
  <c r="G312" i="1"/>
  <c r="G312" i="1" a="1"/>
  <c r="J311" i="1"/>
  <c r="I311" i="1"/>
  <c r="H311" i="1"/>
  <c r="H311" i="1" a="1"/>
  <c r="G311" i="1"/>
  <c r="G311" i="1" a="1"/>
  <c r="J310" i="1"/>
  <c r="I310" i="1"/>
  <c r="H310" i="1"/>
  <c r="H310" i="1" a="1"/>
  <c r="G310" i="1"/>
  <c r="G310" i="1" a="1"/>
  <c r="J309" i="1"/>
  <c r="I309" i="1"/>
  <c r="H309" i="1"/>
  <c r="H309" i="1" a="1"/>
  <c r="G309" i="1"/>
  <c r="G309" i="1" a="1"/>
  <c r="J308" i="1"/>
  <c r="I308" i="1"/>
  <c r="H308" i="1"/>
  <c r="H308" i="1" a="1"/>
  <c r="G308" i="1"/>
  <c r="G308" i="1" a="1"/>
  <c r="J307" i="1"/>
  <c r="I307" i="1"/>
  <c r="H307" i="1"/>
  <c r="H307" i="1" a="1"/>
  <c r="G307" i="1"/>
  <c r="G307" i="1" a="1"/>
  <c r="J306" i="1"/>
  <c r="I306" i="1"/>
  <c r="H306" i="1"/>
  <c r="H306" i="1" a="1"/>
  <c r="G306" i="1"/>
  <c r="G306" i="1" a="1"/>
  <c r="J305" i="1"/>
  <c r="I305" i="1"/>
  <c r="H305" i="1"/>
  <c r="H305" i="1" a="1"/>
  <c r="G305" i="1"/>
  <c r="G305" i="1" a="1"/>
  <c r="J304" i="1"/>
  <c r="I304" i="1"/>
  <c r="H304" i="1"/>
  <c r="H304" i="1" a="1"/>
  <c r="G304" i="1"/>
  <c r="G304" i="1" a="1"/>
  <c r="J303" i="1"/>
  <c r="I303" i="1"/>
  <c r="H303" i="1"/>
  <c r="H303" i="1" a="1"/>
  <c r="G303" i="1"/>
  <c r="G303" i="1" a="1"/>
  <c r="J302" i="1"/>
  <c r="I302" i="1"/>
  <c r="H302" i="1"/>
  <c r="H302" i="1" a="1"/>
  <c r="G302" i="1"/>
  <c r="G302" i="1" a="1"/>
  <c r="J301" i="1"/>
  <c r="I301" i="1"/>
  <c r="H301" i="1"/>
  <c r="H301" i="1" a="1"/>
  <c r="G301" i="1"/>
  <c r="G301" i="1" a="1"/>
  <c r="J300" i="1"/>
  <c r="I300" i="1"/>
  <c r="H300" i="1"/>
  <c r="H300" i="1" a="1"/>
  <c r="G300" i="1"/>
  <c r="G300" i="1" a="1"/>
  <c r="J299" i="1"/>
  <c r="I299" i="1"/>
  <c r="H299" i="1"/>
  <c r="H299" i="1" a="1"/>
  <c r="G299" i="1"/>
  <c r="G299" i="1" a="1"/>
  <c r="J298" i="1"/>
  <c r="I298" i="1"/>
  <c r="H298" i="1"/>
  <c r="H298" i="1" a="1"/>
  <c r="G298" i="1"/>
  <c r="G298" i="1" a="1"/>
  <c r="J297" i="1"/>
  <c r="I297" i="1"/>
  <c r="H297" i="1"/>
  <c r="H297" i="1" a="1"/>
  <c r="G297" i="1"/>
  <c r="G297" i="1" a="1"/>
  <c r="J296" i="1"/>
  <c r="I296" i="1"/>
  <c r="H296" i="1"/>
  <c r="H296" i="1" a="1"/>
  <c r="G296" i="1"/>
  <c r="G296" i="1" a="1"/>
  <c r="J295" i="1"/>
  <c r="I295" i="1"/>
  <c r="H295" i="1"/>
  <c r="H295" i="1" a="1"/>
  <c r="G295" i="1"/>
  <c r="G295" i="1" a="1"/>
  <c r="J294" i="1"/>
  <c r="I294" i="1"/>
  <c r="H294" i="1"/>
  <c r="H294" i="1" a="1"/>
  <c r="G294" i="1"/>
  <c r="G294" i="1" a="1"/>
  <c r="J293" i="1"/>
  <c r="I293" i="1"/>
  <c r="H293" i="1"/>
  <c r="H293" i="1" a="1"/>
  <c r="G293" i="1"/>
  <c r="G293" i="1" a="1"/>
  <c r="J292" i="1"/>
  <c r="I292" i="1"/>
  <c r="H292" i="1"/>
  <c r="H292" i="1" a="1"/>
  <c r="G292" i="1"/>
  <c r="G292" i="1" a="1"/>
  <c r="J291" i="1"/>
  <c r="I291" i="1"/>
  <c r="H291" i="1"/>
  <c r="H291" i="1" a="1"/>
  <c r="G291" i="1"/>
  <c r="G291" i="1" a="1"/>
  <c r="J290" i="1"/>
  <c r="I290" i="1"/>
  <c r="H290" i="1"/>
  <c r="H290" i="1" a="1"/>
  <c r="G290" i="1"/>
  <c r="G290" i="1" a="1"/>
  <c r="J289" i="1"/>
  <c r="I289" i="1"/>
  <c r="H289" i="1"/>
  <c r="H289" i="1" a="1"/>
  <c r="G289" i="1"/>
  <c r="G289" i="1" a="1"/>
  <c r="J288" i="1"/>
  <c r="I288" i="1"/>
  <c r="H288" i="1"/>
  <c r="H288" i="1" a="1"/>
  <c r="G288" i="1"/>
  <c r="G288" i="1" a="1"/>
  <c r="J287" i="1"/>
  <c r="I287" i="1"/>
  <c r="H287" i="1"/>
  <c r="H287" i="1" a="1"/>
  <c r="G287" i="1"/>
  <c r="G287" i="1" a="1"/>
  <c r="J286" i="1"/>
  <c r="I286" i="1"/>
  <c r="H286" i="1"/>
  <c r="H286" i="1" a="1"/>
  <c r="G286" i="1"/>
  <c r="G286" i="1" a="1"/>
  <c r="J285" i="1"/>
  <c r="I285" i="1"/>
  <c r="H285" i="1"/>
  <c r="H285" i="1" a="1"/>
  <c r="G285" i="1"/>
  <c r="G285" i="1" a="1"/>
  <c r="J284" i="1"/>
  <c r="I284" i="1"/>
  <c r="H284" i="1"/>
  <c r="H284" i="1" a="1"/>
  <c r="G284" i="1"/>
  <c r="G284" i="1" a="1"/>
  <c r="J283" i="1"/>
  <c r="I283" i="1"/>
  <c r="H283" i="1"/>
  <c r="H283" i="1" a="1"/>
  <c r="G283" i="1"/>
  <c r="G283" i="1" a="1"/>
  <c r="J282" i="1"/>
  <c r="I282" i="1"/>
  <c r="H282" i="1"/>
  <c r="H282" i="1" a="1"/>
  <c r="G282" i="1"/>
  <c r="G282" i="1" a="1"/>
  <c r="J281" i="1"/>
  <c r="I281" i="1"/>
  <c r="H281" i="1"/>
  <c r="H281" i="1" a="1"/>
  <c r="G281" i="1"/>
  <c r="G281" i="1" a="1"/>
  <c r="J280" i="1"/>
  <c r="I280" i="1"/>
  <c r="H280" i="1"/>
  <c r="H280" i="1" a="1"/>
  <c r="G280" i="1"/>
  <c r="G280" i="1" a="1"/>
  <c r="J279" i="1"/>
  <c r="I279" i="1"/>
  <c r="H279" i="1"/>
  <c r="H279" i="1" a="1"/>
  <c r="G279" i="1"/>
  <c r="G279" i="1" a="1"/>
  <c r="J278" i="1"/>
  <c r="I278" i="1"/>
  <c r="H278" i="1"/>
  <c r="H278" i="1" a="1"/>
  <c r="G278" i="1"/>
  <c r="G278" i="1" a="1"/>
  <c r="J277" i="1"/>
  <c r="I277" i="1"/>
  <c r="H277" i="1"/>
  <c r="H277" i="1" a="1"/>
  <c r="G277" i="1"/>
  <c r="G277" i="1" a="1"/>
  <c r="J276" i="1"/>
  <c r="I276" i="1"/>
  <c r="H276" i="1"/>
  <c r="H276" i="1" a="1"/>
  <c r="G276" i="1"/>
  <c r="G276" i="1" a="1"/>
  <c r="J275" i="1"/>
  <c r="I275" i="1"/>
  <c r="H275" i="1"/>
  <c r="H275" i="1" a="1"/>
  <c r="G275" i="1"/>
  <c r="G275" i="1" a="1"/>
  <c r="J274" i="1"/>
  <c r="I274" i="1"/>
  <c r="H274" i="1"/>
  <c r="H274" i="1" a="1"/>
  <c r="G274" i="1"/>
  <c r="G274" i="1" a="1"/>
  <c r="J273" i="1"/>
  <c r="I273" i="1"/>
  <c r="H273" i="1"/>
  <c r="H273" i="1" a="1"/>
  <c r="G273" i="1"/>
  <c r="G273" i="1" a="1"/>
  <c r="J272" i="1"/>
  <c r="I272" i="1"/>
  <c r="H272" i="1"/>
  <c r="H272" i="1" a="1"/>
  <c r="G272" i="1"/>
  <c r="G272" i="1" a="1"/>
  <c r="J271" i="1"/>
  <c r="I271" i="1"/>
  <c r="H271" i="1"/>
  <c r="H271" i="1" a="1"/>
  <c r="G271" i="1"/>
  <c r="G271" i="1" a="1"/>
  <c r="J270" i="1"/>
  <c r="I270" i="1"/>
  <c r="H270" i="1"/>
  <c r="H270" i="1" a="1"/>
  <c r="G270" i="1"/>
  <c r="G270" i="1" a="1"/>
  <c r="J269" i="1"/>
  <c r="I269" i="1"/>
  <c r="H269" i="1"/>
  <c r="H269" i="1" a="1"/>
  <c r="G269" i="1"/>
  <c r="G269" i="1" a="1"/>
  <c r="J268" i="1"/>
  <c r="I268" i="1"/>
  <c r="H268" i="1"/>
  <c r="H268" i="1" a="1"/>
  <c r="G268" i="1"/>
  <c r="G268" i="1" a="1"/>
  <c r="J267" i="1"/>
  <c r="I267" i="1"/>
  <c r="H267" i="1"/>
  <c r="H267" i="1" a="1"/>
  <c r="G267" i="1"/>
  <c r="G267" i="1" a="1"/>
  <c r="J266" i="1"/>
  <c r="I266" i="1"/>
  <c r="H266" i="1"/>
  <c r="H266" i="1" a="1"/>
  <c r="G266" i="1"/>
  <c r="G266" i="1" a="1"/>
  <c r="J265" i="1"/>
  <c r="I265" i="1"/>
  <c r="H265" i="1"/>
  <c r="H265" i="1" a="1"/>
  <c r="G265" i="1"/>
  <c r="G265" i="1" a="1"/>
  <c r="J264" i="1"/>
  <c r="I264" i="1"/>
  <c r="H264" i="1"/>
  <c r="H264" i="1" a="1"/>
  <c r="G264" i="1"/>
  <c r="G264" i="1" a="1"/>
  <c r="J263" i="1"/>
  <c r="I263" i="1"/>
  <c r="H263" i="1"/>
  <c r="H263" i="1" a="1"/>
  <c r="G263" i="1"/>
  <c r="G263" i="1" a="1"/>
  <c r="J262" i="1"/>
  <c r="I262" i="1"/>
  <c r="H262" i="1"/>
  <c r="H262" i="1" a="1"/>
  <c r="G262" i="1"/>
  <c r="G262" i="1" a="1"/>
  <c r="J261" i="1"/>
  <c r="I261" i="1"/>
  <c r="H261" i="1"/>
  <c r="H261" i="1" a="1"/>
  <c r="G261" i="1"/>
  <c r="G261" i="1" a="1"/>
  <c r="J260" i="1"/>
  <c r="I260" i="1"/>
  <c r="H260" i="1"/>
  <c r="H260" i="1" a="1"/>
  <c r="G260" i="1"/>
  <c r="G260" i="1" a="1"/>
  <c r="J259" i="1"/>
  <c r="I259" i="1"/>
  <c r="H259" i="1"/>
  <c r="H259" i="1" a="1"/>
  <c r="G259" i="1"/>
  <c r="G259" i="1" a="1"/>
  <c r="J258" i="1"/>
  <c r="I258" i="1"/>
  <c r="H258" i="1"/>
  <c r="H258" i="1" a="1"/>
  <c r="G258" i="1"/>
  <c r="G258" i="1" a="1"/>
  <c r="J257" i="1"/>
  <c r="I257" i="1"/>
  <c r="H257" i="1"/>
  <c r="H257" i="1" a="1"/>
  <c r="G257" i="1"/>
  <c r="G257" i="1" a="1"/>
  <c r="J256" i="1"/>
  <c r="I256" i="1"/>
  <c r="H256" i="1"/>
  <c r="H256" i="1" a="1"/>
  <c r="G256" i="1"/>
  <c r="G256" i="1" a="1"/>
  <c r="J255" i="1"/>
  <c r="I255" i="1"/>
  <c r="H255" i="1"/>
  <c r="H255" i="1" a="1"/>
  <c r="G255" i="1"/>
  <c r="G255" i="1" a="1"/>
  <c r="J254" i="1"/>
  <c r="I254" i="1"/>
  <c r="H254" i="1"/>
  <c r="H254" i="1" a="1"/>
  <c r="G254" i="1"/>
  <c r="G254" i="1" a="1"/>
  <c r="J253" i="1"/>
  <c r="I253" i="1"/>
  <c r="H253" i="1"/>
  <c r="H253" i="1" a="1"/>
  <c r="G253" i="1"/>
  <c r="G253" i="1" a="1"/>
  <c r="J252" i="1"/>
  <c r="I252" i="1"/>
  <c r="H252" i="1"/>
  <c r="H252" i="1" a="1"/>
  <c r="G252" i="1"/>
  <c r="G252" i="1" a="1"/>
  <c r="J251" i="1"/>
  <c r="I251" i="1"/>
  <c r="H251" i="1"/>
  <c r="H251" i="1" a="1"/>
  <c r="G251" i="1"/>
  <c r="G251" i="1" a="1"/>
  <c r="J250" i="1"/>
  <c r="I250" i="1"/>
  <c r="H250" i="1"/>
  <c r="H250" i="1" a="1"/>
  <c r="G250" i="1"/>
  <c r="G250" i="1" a="1"/>
  <c r="J249" i="1"/>
  <c r="I249" i="1"/>
  <c r="H249" i="1"/>
  <c r="H249" i="1" a="1"/>
  <c r="G249" i="1"/>
  <c r="G249" i="1" a="1"/>
  <c r="J248" i="1"/>
  <c r="I248" i="1"/>
  <c r="H248" i="1"/>
  <c r="H248" i="1" a="1"/>
  <c r="G248" i="1"/>
  <c r="G248" i="1" a="1"/>
  <c r="J247" i="1"/>
  <c r="I247" i="1"/>
  <c r="H247" i="1"/>
  <c r="H247" i="1" a="1"/>
  <c r="G247" i="1"/>
  <c r="G247" i="1" a="1"/>
  <c r="J246" i="1"/>
  <c r="I246" i="1"/>
  <c r="H246" i="1"/>
  <c r="H246" i="1" a="1"/>
  <c r="G246" i="1"/>
  <c r="G246" i="1" a="1"/>
  <c r="J245" i="1"/>
  <c r="I245" i="1"/>
  <c r="H245" i="1"/>
  <c r="H245" i="1" a="1"/>
  <c r="G245" i="1"/>
  <c r="G245" i="1" a="1"/>
  <c r="J244" i="1"/>
  <c r="I244" i="1"/>
  <c r="H244" i="1"/>
  <c r="H244" i="1" a="1"/>
  <c r="G244" i="1"/>
  <c r="G244" i="1" a="1"/>
  <c r="J243" i="1"/>
  <c r="I243" i="1"/>
  <c r="H243" i="1"/>
  <c r="H243" i="1" a="1"/>
  <c r="G243" i="1"/>
  <c r="G243" i="1" a="1"/>
  <c r="J242" i="1"/>
  <c r="I242" i="1"/>
  <c r="H242" i="1"/>
  <c r="H242" i="1" a="1"/>
  <c r="G242" i="1"/>
  <c r="G242" i="1" a="1"/>
  <c r="J241" i="1"/>
  <c r="I241" i="1"/>
  <c r="H241" i="1"/>
  <c r="H241" i="1" a="1"/>
  <c r="G241" i="1"/>
  <c r="G241" i="1" a="1"/>
  <c r="J240" i="1"/>
  <c r="I240" i="1"/>
  <c r="H240" i="1"/>
  <c r="H240" i="1" a="1"/>
  <c r="G240" i="1"/>
  <c r="G240" i="1" a="1"/>
  <c r="J239" i="1"/>
  <c r="I239" i="1"/>
  <c r="H239" i="1"/>
  <c r="H239" i="1" a="1"/>
  <c r="G239" i="1"/>
  <c r="G239" i="1" a="1"/>
  <c r="J238" i="1"/>
  <c r="I238" i="1"/>
  <c r="H238" i="1"/>
  <c r="H238" i="1" a="1"/>
  <c r="G238" i="1"/>
  <c r="G238" i="1" a="1"/>
  <c r="J237" i="1"/>
  <c r="I237" i="1"/>
  <c r="H237" i="1"/>
  <c r="H237" i="1" a="1"/>
  <c r="G237" i="1"/>
  <c r="G237" i="1" a="1"/>
  <c r="J236" i="1"/>
  <c r="I236" i="1"/>
  <c r="H236" i="1"/>
  <c r="H236" i="1" a="1"/>
  <c r="G236" i="1"/>
  <c r="G236" i="1" a="1"/>
  <c r="J235" i="1"/>
  <c r="I235" i="1"/>
  <c r="H235" i="1"/>
  <c r="H235" i="1" a="1"/>
  <c r="G235" i="1"/>
  <c r="G235" i="1" a="1"/>
  <c r="J234" i="1"/>
  <c r="I234" i="1"/>
  <c r="H234" i="1"/>
  <c r="H234" i="1" a="1"/>
  <c r="G234" i="1"/>
  <c r="G234" i="1" a="1"/>
  <c r="J233" i="1"/>
  <c r="I233" i="1"/>
  <c r="H233" i="1"/>
  <c r="H233" i="1" a="1"/>
  <c r="G233" i="1"/>
  <c r="G233" i="1" a="1"/>
  <c r="J232" i="1"/>
  <c r="I232" i="1"/>
  <c r="H232" i="1"/>
  <c r="H232" i="1" a="1"/>
  <c r="G232" i="1"/>
  <c r="G232" i="1" a="1"/>
  <c r="J231" i="1"/>
  <c r="I231" i="1"/>
  <c r="H231" i="1"/>
  <c r="H231" i="1" a="1"/>
  <c r="G231" i="1"/>
  <c r="G231" i="1" a="1"/>
  <c r="J230" i="1"/>
  <c r="I230" i="1"/>
  <c r="H230" i="1"/>
  <c r="H230" i="1" a="1"/>
  <c r="G230" i="1"/>
  <c r="G230" i="1" a="1"/>
  <c r="J229" i="1"/>
  <c r="I229" i="1"/>
  <c r="H229" i="1"/>
  <c r="H229" i="1" a="1"/>
  <c r="G229" i="1"/>
  <c r="G229" i="1" a="1"/>
  <c r="J228" i="1"/>
  <c r="I228" i="1"/>
  <c r="H228" i="1"/>
  <c r="H228" i="1" a="1"/>
  <c r="G228" i="1"/>
  <c r="G228" i="1" a="1"/>
  <c r="J227" i="1"/>
  <c r="I227" i="1"/>
  <c r="H227" i="1"/>
  <c r="H227" i="1" a="1"/>
  <c r="G227" i="1"/>
  <c r="G227" i="1" a="1"/>
  <c r="J226" i="1"/>
  <c r="I226" i="1"/>
  <c r="H226" i="1"/>
  <c r="H226" i="1" a="1"/>
  <c r="G226" i="1"/>
  <c r="G226" i="1" a="1"/>
  <c r="J225" i="1"/>
  <c r="I225" i="1"/>
  <c r="H225" i="1"/>
  <c r="H225" i="1" a="1"/>
  <c r="G225" i="1"/>
  <c r="G225" i="1" a="1"/>
  <c r="J224" i="1"/>
  <c r="I224" i="1"/>
  <c r="H224" i="1"/>
  <c r="H224" i="1" a="1"/>
  <c r="G224" i="1"/>
  <c r="G224" i="1" a="1"/>
  <c r="J223" i="1"/>
  <c r="I223" i="1"/>
  <c r="H223" i="1"/>
  <c r="H223" i="1" a="1"/>
  <c r="G223" i="1"/>
  <c r="G223" i="1" a="1"/>
  <c r="J222" i="1"/>
  <c r="I222" i="1"/>
  <c r="H222" i="1"/>
  <c r="H222" i="1" a="1"/>
  <c r="G222" i="1"/>
  <c r="G222" i="1" a="1"/>
  <c r="J221" i="1"/>
  <c r="I221" i="1"/>
  <c r="H221" i="1"/>
  <c r="H221" i="1" a="1"/>
  <c r="G221" i="1"/>
  <c r="G221" i="1" a="1"/>
  <c r="J220" i="1"/>
  <c r="I220" i="1"/>
  <c r="H220" i="1"/>
  <c r="H220" i="1" a="1"/>
  <c r="G220" i="1"/>
  <c r="G220" i="1" a="1"/>
  <c r="J219" i="1"/>
  <c r="I219" i="1"/>
  <c r="H219" i="1"/>
  <c r="H219" i="1" a="1"/>
  <c r="G219" i="1"/>
  <c r="G219" i="1" a="1"/>
  <c r="J218" i="1"/>
  <c r="I218" i="1"/>
  <c r="H218" i="1"/>
  <c r="H218" i="1" a="1"/>
  <c r="G218" i="1"/>
  <c r="G218" i="1" a="1"/>
  <c r="J217" i="1"/>
  <c r="I217" i="1"/>
  <c r="H217" i="1"/>
  <c r="H217" i="1" a="1"/>
  <c r="G217" i="1"/>
  <c r="G217" i="1" a="1"/>
  <c r="J216" i="1"/>
  <c r="I216" i="1"/>
  <c r="H216" i="1"/>
  <c r="H216" i="1" a="1"/>
  <c r="G216" i="1"/>
  <c r="G216" i="1" a="1"/>
  <c r="J215" i="1"/>
  <c r="I215" i="1"/>
  <c r="H215" i="1"/>
  <c r="H215" i="1" a="1"/>
  <c r="G215" i="1"/>
  <c r="G215" i="1" a="1"/>
  <c r="J214" i="1"/>
  <c r="I214" i="1"/>
  <c r="H214" i="1"/>
  <c r="H214" i="1" a="1"/>
  <c r="G214" i="1"/>
  <c r="G214" i="1" a="1"/>
  <c r="J213" i="1"/>
  <c r="I213" i="1"/>
  <c r="H213" i="1"/>
  <c r="H213" i="1" a="1"/>
  <c r="G213" i="1"/>
  <c r="G213" i="1" a="1"/>
  <c r="J212" i="1"/>
  <c r="I212" i="1"/>
  <c r="H212" i="1"/>
  <c r="H212" i="1" a="1"/>
  <c r="G212" i="1"/>
  <c r="G212" i="1" a="1"/>
  <c r="J211" i="1"/>
  <c r="I211" i="1"/>
  <c r="H211" i="1"/>
  <c r="H211" i="1" a="1"/>
  <c r="G211" i="1"/>
  <c r="G211" i="1" a="1"/>
  <c r="J210" i="1"/>
  <c r="I210" i="1"/>
  <c r="H210" i="1"/>
  <c r="H210" i="1" a="1"/>
  <c r="G210" i="1"/>
  <c r="G210" i="1" a="1"/>
  <c r="J209" i="1"/>
  <c r="I209" i="1"/>
  <c r="H209" i="1"/>
  <c r="H209" i="1" a="1"/>
  <c r="G209" i="1"/>
  <c r="G209" i="1" a="1"/>
  <c r="J208" i="1"/>
  <c r="I208" i="1"/>
  <c r="H208" i="1"/>
  <c r="H208" i="1" a="1"/>
  <c r="G208" i="1"/>
  <c r="G208" i="1" a="1"/>
  <c r="J207" i="1"/>
  <c r="I207" i="1"/>
  <c r="H207" i="1"/>
  <c r="H207" i="1" a="1"/>
  <c r="G207" i="1"/>
  <c r="G207" i="1" a="1"/>
  <c r="J206" i="1"/>
  <c r="I206" i="1"/>
  <c r="H206" i="1"/>
  <c r="H206" i="1" a="1"/>
  <c r="G206" i="1"/>
  <c r="G206" i="1" a="1"/>
  <c r="J205" i="1"/>
  <c r="I205" i="1"/>
  <c r="H205" i="1"/>
  <c r="H205" i="1" a="1"/>
  <c r="G205" i="1"/>
  <c r="G205" i="1" a="1"/>
  <c r="J204" i="1"/>
  <c r="I204" i="1"/>
  <c r="H204" i="1"/>
  <c r="H204" i="1" a="1"/>
  <c r="G204" i="1"/>
  <c r="G204" i="1" a="1"/>
  <c r="J203" i="1"/>
  <c r="I203" i="1"/>
  <c r="H203" i="1"/>
  <c r="H203" i="1" a="1"/>
  <c r="G203" i="1"/>
  <c r="G203" i="1" a="1"/>
  <c r="J202" i="1"/>
  <c r="I202" i="1"/>
  <c r="H202" i="1"/>
  <c r="H202" i="1" a="1"/>
  <c r="G202" i="1"/>
  <c r="G202" i="1" a="1"/>
  <c r="J201" i="1"/>
  <c r="I201" i="1"/>
  <c r="H201" i="1"/>
  <c r="H201" i="1" a="1"/>
  <c r="G201" i="1"/>
  <c r="G201" i="1" a="1"/>
  <c r="J200" i="1"/>
  <c r="I200" i="1"/>
  <c r="H200" i="1"/>
  <c r="H200" i="1" a="1"/>
  <c r="G200" i="1"/>
  <c r="G200" i="1" a="1"/>
  <c r="J199" i="1"/>
  <c r="I199" i="1"/>
  <c r="H199" i="1"/>
  <c r="H199" i="1" a="1"/>
  <c r="G199" i="1"/>
  <c r="G199" i="1" a="1"/>
  <c r="J198" i="1"/>
  <c r="I198" i="1"/>
  <c r="H198" i="1"/>
  <c r="H198" i="1" a="1"/>
  <c r="G198" i="1"/>
  <c r="G198" i="1" a="1"/>
  <c r="J197" i="1"/>
  <c r="I197" i="1"/>
  <c r="H197" i="1"/>
  <c r="H197" i="1" a="1"/>
  <c r="G197" i="1"/>
  <c r="G197" i="1" a="1"/>
  <c r="J196" i="1"/>
  <c r="I196" i="1"/>
  <c r="H196" i="1"/>
  <c r="H196" i="1" a="1"/>
  <c r="G196" i="1"/>
  <c r="G196" i="1" a="1"/>
  <c r="J195" i="1"/>
  <c r="I195" i="1"/>
  <c r="H195" i="1"/>
  <c r="H195" i="1" a="1"/>
  <c r="G195" i="1"/>
  <c r="G195" i="1" a="1"/>
  <c r="J194" i="1"/>
  <c r="I194" i="1"/>
  <c r="H194" i="1"/>
  <c r="H194" i="1" a="1"/>
  <c r="G194" i="1"/>
  <c r="G194" i="1" a="1"/>
  <c r="J193" i="1"/>
  <c r="I193" i="1"/>
  <c r="H193" i="1"/>
  <c r="H193" i="1" a="1"/>
  <c r="G193" i="1"/>
  <c r="G193" i="1" a="1"/>
  <c r="J192" i="1"/>
  <c r="I192" i="1"/>
  <c r="H192" i="1"/>
  <c r="H192" i="1" a="1"/>
  <c r="G192" i="1"/>
  <c r="G192" i="1" a="1"/>
  <c r="J191" i="1"/>
  <c r="I191" i="1"/>
  <c r="H191" i="1"/>
  <c r="H191" i="1" a="1"/>
  <c r="G191" i="1"/>
  <c r="G191" i="1" a="1"/>
  <c r="J190" i="1"/>
  <c r="I190" i="1"/>
  <c r="H190" i="1"/>
  <c r="H190" i="1" a="1"/>
  <c r="G190" i="1"/>
  <c r="G190" i="1" a="1"/>
  <c r="J189" i="1"/>
  <c r="I189" i="1"/>
  <c r="H189" i="1"/>
  <c r="H189" i="1" a="1"/>
  <c r="G189" i="1"/>
  <c r="G189" i="1" a="1"/>
  <c r="J188" i="1"/>
  <c r="I188" i="1"/>
  <c r="H188" i="1"/>
  <c r="H188" i="1" a="1"/>
  <c r="G188" i="1"/>
  <c r="G188" i="1" a="1"/>
  <c r="J187" i="1"/>
  <c r="I187" i="1"/>
  <c r="H187" i="1"/>
  <c r="H187" i="1" a="1"/>
  <c r="G187" i="1"/>
  <c r="G187" i="1" a="1"/>
  <c r="J186" i="1"/>
  <c r="I186" i="1"/>
  <c r="H186" i="1"/>
  <c r="H186" i="1" a="1"/>
  <c r="G186" i="1"/>
  <c r="G186" i="1" a="1"/>
  <c r="J185" i="1"/>
  <c r="I185" i="1"/>
  <c r="H185" i="1"/>
  <c r="H185" i="1" a="1"/>
  <c r="G185" i="1"/>
  <c r="G185" i="1" a="1"/>
  <c r="J184" i="1"/>
  <c r="I184" i="1"/>
  <c r="H184" i="1"/>
  <c r="H184" i="1" a="1"/>
  <c r="G184" i="1"/>
  <c r="G184" i="1" a="1"/>
  <c r="J183" i="1"/>
  <c r="I183" i="1"/>
  <c r="H183" i="1"/>
  <c r="H183" i="1" a="1"/>
  <c r="G183" i="1"/>
  <c r="G183" i="1" a="1"/>
  <c r="J182" i="1"/>
  <c r="I182" i="1"/>
  <c r="H182" i="1"/>
  <c r="H182" i="1" a="1"/>
  <c r="G182" i="1"/>
  <c r="G182" i="1" a="1"/>
  <c r="J181" i="1"/>
  <c r="I181" i="1"/>
  <c r="H181" i="1"/>
  <c r="H181" i="1" a="1"/>
  <c r="G181" i="1"/>
  <c r="G181" i="1" a="1"/>
  <c r="J180" i="1"/>
  <c r="I180" i="1"/>
  <c r="H180" i="1"/>
  <c r="H180" i="1" a="1"/>
  <c r="G180" i="1"/>
  <c r="G180" i="1" a="1"/>
  <c r="J179" i="1"/>
  <c r="I179" i="1"/>
  <c r="H179" i="1"/>
  <c r="H179" i="1" a="1"/>
  <c r="G179" i="1"/>
  <c r="G179" i="1" a="1"/>
  <c r="J178" i="1"/>
  <c r="I178" i="1"/>
  <c r="H178" i="1"/>
  <c r="H178" i="1" a="1"/>
  <c r="G178" i="1"/>
  <c r="G178" i="1" a="1"/>
  <c r="J177" i="1"/>
  <c r="I177" i="1"/>
  <c r="H177" i="1"/>
  <c r="H177" i="1" a="1"/>
  <c r="G177" i="1"/>
  <c r="G177" i="1" a="1"/>
  <c r="J176" i="1"/>
  <c r="I176" i="1"/>
  <c r="H176" i="1"/>
  <c r="H176" i="1" a="1"/>
  <c r="G176" i="1"/>
  <c r="G176" i="1" a="1"/>
  <c r="J175" i="1"/>
  <c r="I175" i="1"/>
  <c r="H175" i="1"/>
  <c r="H175" i="1" a="1"/>
  <c r="G175" i="1"/>
  <c r="G175" i="1" a="1"/>
  <c r="J174" i="1"/>
  <c r="I174" i="1"/>
  <c r="H174" i="1"/>
  <c r="H174" i="1" a="1"/>
  <c r="G174" i="1"/>
  <c r="G174" i="1" a="1"/>
  <c r="J173" i="1"/>
  <c r="I173" i="1"/>
  <c r="H173" i="1"/>
  <c r="H173" i="1" a="1"/>
  <c r="G173" i="1"/>
  <c r="G173" i="1" a="1"/>
  <c r="J172" i="1"/>
  <c r="I172" i="1"/>
  <c r="H172" i="1"/>
  <c r="H172" i="1" a="1"/>
  <c r="G172" i="1"/>
  <c r="G172" i="1" a="1"/>
  <c r="J171" i="1"/>
  <c r="I171" i="1"/>
  <c r="H171" i="1"/>
  <c r="H171" i="1" a="1"/>
  <c r="G171" i="1"/>
  <c r="G171" i="1" a="1"/>
  <c r="J170" i="1"/>
  <c r="I170" i="1"/>
  <c r="H170" i="1"/>
  <c r="H170" i="1" a="1"/>
  <c r="G170" i="1"/>
  <c r="G170" i="1" a="1"/>
  <c r="J169" i="1"/>
  <c r="I169" i="1"/>
  <c r="H169" i="1"/>
  <c r="H169" i="1" a="1"/>
  <c r="G169" i="1"/>
  <c r="G169" i="1" a="1"/>
  <c r="J168" i="1"/>
  <c r="I168" i="1"/>
  <c r="H168" i="1"/>
  <c r="H168" i="1" a="1"/>
  <c r="G168" i="1"/>
  <c r="G168" i="1" a="1"/>
  <c r="J167" i="1"/>
  <c r="I167" i="1"/>
  <c r="H167" i="1"/>
  <c r="H167" i="1" a="1"/>
  <c r="G167" i="1"/>
  <c r="G167" i="1" a="1"/>
  <c r="J166" i="1"/>
  <c r="I166" i="1"/>
  <c r="H166" i="1"/>
  <c r="H166" i="1" a="1"/>
  <c r="G166" i="1"/>
  <c r="G166" i="1" a="1"/>
  <c r="J165" i="1"/>
  <c r="I165" i="1"/>
  <c r="H165" i="1"/>
  <c r="H165" i="1" a="1"/>
  <c r="G165" i="1"/>
  <c r="G165" i="1" a="1"/>
  <c r="J164" i="1"/>
  <c r="I164" i="1"/>
  <c r="H164" i="1"/>
  <c r="H164" i="1" a="1"/>
  <c r="G164" i="1"/>
  <c r="G164" i="1" a="1"/>
  <c r="J163" i="1"/>
  <c r="I163" i="1"/>
  <c r="H163" i="1"/>
  <c r="H163" i="1" a="1"/>
  <c r="G163" i="1"/>
  <c r="G163" i="1" a="1"/>
  <c r="J162" i="1"/>
  <c r="I162" i="1"/>
  <c r="H162" i="1"/>
  <c r="H162" i="1" a="1"/>
  <c r="G162" i="1"/>
  <c r="G162" i="1" a="1"/>
  <c r="J161" i="1"/>
  <c r="I161" i="1"/>
  <c r="H161" i="1"/>
  <c r="H161" i="1" a="1"/>
  <c r="G161" i="1"/>
  <c r="G161" i="1" a="1"/>
  <c r="J160" i="1"/>
  <c r="I160" i="1"/>
  <c r="H160" i="1"/>
  <c r="H160" i="1" a="1"/>
  <c r="G160" i="1"/>
  <c r="G160" i="1" a="1"/>
  <c r="J159" i="1"/>
  <c r="I159" i="1"/>
  <c r="H159" i="1"/>
  <c r="H159" i="1" a="1"/>
  <c r="G159" i="1"/>
  <c r="G159" i="1" a="1"/>
  <c r="J158" i="1"/>
  <c r="I158" i="1"/>
  <c r="H158" i="1"/>
  <c r="H158" i="1" a="1"/>
  <c r="G158" i="1"/>
  <c r="G158" i="1" a="1"/>
  <c r="J157" i="1"/>
  <c r="I157" i="1"/>
  <c r="H157" i="1"/>
  <c r="H157" i="1" a="1"/>
  <c r="G157" i="1"/>
  <c r="G157" i="1" a="1"/>
  <c r="J156" i="1"/>
  <c r="I156" i="1"/>
  <c r="H156" i="1"/>
  <c r="H156" i="1" a="1"/>
  <c r="G156" i="1"/>
  <c r="G156" i="1" a="1"/>
  <c r="J155" i="1"/>
  <c r="I155" i="1"/>
  <c r="H155" i="1"/>
  <c r="H155" i="1" a="1"/>
  <c r="G155" i="1"/>
  <c r="G155" i="1" a="1"/>
  <c r="J154" i="1"/>
  <c r="I154" i="1"/>
  <c r="H154" i="1"/>
  <c r="H154" i="1" a="1"/>
  <c r="G154" i="1"/>
  <c r="G154" i="1" a="1"/>
  <c r="J153" i="1"/>
  <c r="I153" i="1"/>
  <c r="H153" i="1"/>
  <c r="H153" i="1" a="1"/>
  <c r="G153" i="1"/>
  <c r="G153" i="1" a="1"/>
  <c r="J152" i="1"/>
  <c r="I152" i="1"/>
  <c r="H152" i="1"/>
  <c r="H152" i="1" a="1"/>
  <c r="G152" i="1"/>
  <c r="G152" i="1" a="1"/>
  <c r="J151" i="1"/>
  <c r="I151" i="1"/>
  <c r="H151" i="1"/>
  <c r="H151" i="1" a="1"/>
  <c r="G151" i="1"/>
  <c r="G151" i="1" a="1"/>
  <c r="J150" i="1"/>
  <c r="I150" i="1"/>
  <c r="H150" i="1"/>
  <c r="H150" i="1" a="1"/>
  <c r="G150" i="1"/>
  <c r="G150" i="1" a="1"/>
  <c r="J149" i="1"/>
  <c r="I149" i="1"/>
  <c r="H149" i="1"/>
  <c r="H149" i="1" a="1"/>
  <c r="G149" i="1"/>
  <c r="G149" i="1" a="1"/>
  <c r="J148" i="1"/>
  <c r="I148" i="1"/>
  <c r="H148" i="1"/>
  <c r="H148" i="1" a="1"/>
  <c r="G148" i="1"/>
  <c r="G148" i="1" a="1"/>
  <c r="J147" i="1"/>
  <c r="I147" i="1"/>
  <c r="H147" i="1"/>
  <c r="H147" i="1" a="1"/>
  <c r="G147" i="1"/>
  <c r="G147" i="1" a="1"/>
  <c r="J146" i="1"/>
  <c r="I146" i="1"/>
  <c r="H146" i="1"/>
  <c r="H146" i="1" a="1"/>
  <c r="G146" i="1"/>
  <c r="G146" i="1" a="1"/>
  <c r="J145" i="1"/>
  <c r="I145" i="1"/>
  <c r="H145" i="1"/>
  <c r="H145" i="1" a="1"/>
  <c r="G145" i="1"/>
  <c r="G145" i="1" a="1"/>
  <c r="J144" i="1"/>
  <c r="I144" i="1"/>
  <c r="H144" i="1"/>
  <c r="H144" i="1" a="1"/>
  <c r="G144" i="1"/>
  <c r="G144" i="1" a="1"/>
  <c r="J143" i="1"/>
  <c r="I143" i="1"/>
  <c r="H143" i="1"/>
  <c r="H143" i="1" a="1"/>
  <c r="G143" i="1"/>
  <c r="G143" i="1" a="1"/>
  <c r="J142" i="1"/>
  <c r="I142" i="1"/>
  <c r="H142" i="1"/>
  <c r="H142" i="1" a="1"/>
  <c r="G142" i="1"/>
  <c r="G142" i="1" a="1"/>
  <c r="J141" i="1"/>
  <c r="I141" i="1"/>
  <c r="H141" i="1"/>
  <c r="H141" i="1" a="1"/>
  <c r="G141" i="1"/>
  <c r="G141" i="1" a="1"/>
  <c r="J140" i="1"/>
  <c r="I140" i="1"/>
  <c r="H140" i="1"/>
  <c r="H140" i="1" a="1"/>
  <c r="G140" i="1"/>
  <c r="G140" i="1" a="1"/>
  <c r="J139" i="1"/>
  <c r="I139" i="1"/>
  <c r="H139" i="1"/>
  <c r="H139" i="1" a="1"/>
  <c r="G139" i="1"/>
  <c r="G139" i="1" a="1"/>
  <c r="J138" i="1"/>
  <c r="I138" i="1"/>
  <c r="H138" i="1"/>
  <c r="H138" i="1" a="1"/>
  <c r="G138" i="1"/>
  <c r="G138" i="1" a="1"/>
  <c r="J137" i="1"/>
  <c r="I137" i="1"/>
  <c r="H137" i="1"/>
  <c r="H137" i="1" a="1"/>
  <c r="G137" i="1"/>
  <c r="G137" i="1" a="1"/>
  <c r="J136" i="1"/>
  <c r="I136" i="1"/>
  <c r="H136" i="1"/>
  <c r="H136" i="1" a="1"/>
  <c r="G136" i="1"/>
  <c r="G136" i="1" a="1"/>
  <c r="J135" i="1"/>
  <c r="I135" i="1"/>
  <c r="H135" i="1"/>
  <c r="H135" i="1" a="1"/>
  <c r="G135" i="1"/>
  <c r="G135" i="1" a="1"/>
  <c r="J134" i="1"/>
  <c r="I134" i="1"/>
  <c r="H134" i="1"/>
  <c r="H134" i="1" a="1"/>
  <c r="G134" i="1"/>
  <c r="G134" i="1" a="1"/>
  <c r="J133" i="1"/>
  <c r="I133" i="1"/>
  <c r="H133" i="1"/>
  <c r="H133" i="1" a="1"/>
  <c r="G133" i="1"/>
  <c r="G133" i="1" a="1"/>
  <c r="J132" i="1"/>
  <c r="I132" i="1"/>
  <c r="H132" i="1"/>
  <c r="H132" i="1" a="1"/>
  <c r="G132" i="1"/>
  <c r="G132" i="1" a="1"/>
  <c r="J131" i="1"/>
  <c r="I131" i="1"/>
  <c r="H131" i="1"/>
  <c r="H131" i="1" a="1"/>
  <c r="G131" i="1"/>
  <c r="G131" i="1" a="1"/>
  <c r="J130" i="1"/>
  <c r="I130" i="1"/>
  <c r="H130" i="1"/>
  <c r="H130" i="1" a="1"/>
  <c r="G130" i="1"/>
  <c r="G130" i="1" a="1"/>
  <c r="J129" i="1"/>
  <c r="I129" i="1"/>
  <c r="H129" i="1"/>
  <c r="H129" i="1" a="1"/>
  <c r="G129" i="1"/>
  <c r="G129" i="1" a="1"/>
  <c r="J128" i="1"/>
  <c r="I128" i="1"/>
  <c r="H128" i="1"/>
  <c r="H128" i="1" a="1"/>
  <c r="G128" i="1"/>
  <c r="G128" i="1" a="1"/>
  <c r="J127" i="1"/>
  <c r="I127" i="1"/>
  <c r="H127" i="1"/>
  <c r="H127" i="1" a="1"/>
  <c r="G127" i="1"/>
  <c r="G127" i="1" a="1"/>
  <c r="J126" i="1"/>
  <c r="I126" i="1"/>
  <c r="H126" i="1"/>
  <c r="H126" i="1" a="1"/>
  <c r="G126" i="1"/>
  <c r="G126" i="1" a="1"/>
  <c r="J125" i="1"/>
  <c r="I125" i="1"/>
  <c r="H125" i="1"/>
  <c r="H125" i="1" a="1"/>
  <c r="G125" i="1"/>
  <c r="G125" i="1" a="1"/>
  <c r="J124" i="1"/>
  <c r="I124" i="1"/>
  <c r="H124" i="1"/>
  <c r="H124" i="1" a="1"/>
  <c r="G124" i="1"/>
  <c r="G124" i="1" a="1"/>
  <c r="J123" i="1"/>
  <c r="I123" i="1"/>
  <c r="H123" i="1"/>
  <c r="H123" i="1" a="1"/>
  <c r="G123" i="1"/>
  <c r="G123" i="1" a="1"/>
  <c r="J122" i="1"/>
  <c r="I122" i="1"/>
  <c r="H122" i="1"/>
  <c r="H122" i="1" a="1"/>
  <c r="G122" i="1"/>
  <c r="G122" i="1" a="1"/>
  <c r="J121" i="1"/>
  <c r="I121" i="1"/>
  <c r="H121" i="1"/>
  <c r="H121" i="1" a="1"/>
  <c r="G121" i="1"/>
  <c r="G121" i="1" a="1"/>
  <c r="J120" i="1"/>
  <c r="I120" i="1"/>
  <c r="H120" i="1"/>
  <c r="H120" i="1" a="1"/>
  <c r="G120" i="1"/>
  <c r="G120" i="1" a="1"/>
  <c r="J119" i="1"/>
  <c r="I119" i="1"/>
  <c r="H119" i="1"/>
  <c r="H119" i="1" a="1"/>
  <c r="G119" i="1"/>
  <c r="G119" i="1" a="1"/>
  <c r="J118" i="1"/>
  <c r="I118" i="1"/>
  <c r="H118" i="1"/>
  <c r="H118" i="1" a="1"/>
  <c r="G118" i="1"/>
  <c r="G118" i="1" a="1"/>
  <c r="J117" i="1"/>
  <c r="I117" i="1"/>
  <c r="H117" i="1"/>
  <c r="H117" i="1" a="1"/>
  <c r="G117" i="1"/>
  <c r="G117" i="1" a="1"/>
  <c r="J116" i="1"/>
  <c r="I116" i="1"/>
  <c r="H116" i="1"/>
  <c r="H116" i="1" a="1"/>
  <c r="G116" i="1"/>
  <c r="G116" i="1" a="1"/>
  <c r="J115" i="1"/>
  <c r="I115" i="1"/>
  <c r="H115" i="1"/>
  <c r="H115" i="1" a="1"/>
  <c r="G115" i="1"/>
  <c r="G115" i="1" a="1"/>
  <c r="J114" i="1"/>
  <c r="I114" i="1"/>
  <c r="H114" i="1"/>
  <c r="H114" i="1" a="1"/>
  <c r="G114" i="1"/>
  <c r="G114" i="1" a="1"/>
  <c r="J113" i="1"/>
  <c r="I113" i="1"/>
  <c r="H113" i="1"/>
  <c r="H113" i="1" a="1"/>
  <c r="G113" i="1"/>
  <c r="G113" i="1" a="1"/>
  <c r="J112" i="1"/>
  <c r="I112" i="1"/>
  <c r="H112" i="1"/>
  <c r="H112" i="1" a="1"/>
  <c r="G112" i="1"/>
  <c r="G112" i="1" a="1"/>
  <c r="J111" i="1"/>
  <c r="I111" i="1"/>
  <c r="H111" i="1"/>
  <c r="H111" i="1" a="1"/>
  <c r="G111" i="1"/>
  <c r="G111" i="1" a="1"/>
  <c r="J110" i="1"/>
  <c r="I110" i="1"/>
  <c r="H110" i="1"/>
  <c r="H110" i="1" a="1"/>
  <c r="G110" i="1"/>
  <c r="G110" i="1" a="1"/>
  <c r="J109" i="1"/>
  <c r="I109" i="1"/>
  <c r="H109" i="1"/>
  <c r="H109" i="1" a="1"/>
  <c r="G109" i="1"/>
  <c r="G109" i="1" a="1"/>
  <c r="J108" i="1"/>
  <c r="I108" i="1"/>
  <c r="H108" i="1"/>
  <c r="H108" i="1" a="1"/>
  <c r="G108" i="1"/>
  <c r="G108" i="1" a="1"/>
  <c r="J107" i="1"/>
  <c r="I107" i="1"/>
  <c r="H107" i="1"/>
  <c r="H107" i="1" a="1"/>
  <c r="G107" i="1"/>
  <c r="G107" i="1" a="1"/>
  <c r="J106" i="1"/>
  <c r="I106" i="1"/>
  <c r="H106" i="1"/>
  <c r="H106" i="1" a="1"/>
  <c r="G106" i="1"/>
  <c r="G106" i="1" a="1"/>
  <c r="J105" i="1"/>
  <c r="I105" i="1"/>
  <c r="H105" i="1"/>
  <c r="H105" i="1" a="1"/>
  <c r="G105" i="1"/>
  <c r="G105" i="1" a="1"/>
  <c r="J104" i="1"/>
  <c r="I104" i="1"/>
  <c r="H104" i="1"/>
  <c r="H104" i="1" a="1"/>
  <c r="G104" i="1"/>
  <c r="G104" i="1" a="1"/>
  <c r="J103" i="1"/>
  <c r="I103" i="1"/>
  <c r="H103" i="1"/>
  <c r="H103" i="1" a="1"/>
  <c r="G103" i="1"/>
  <c r="G103" i="1" a="1"/>
  <c r="J102" i="1"/>
  <c r="I102" i="1"/>
  <c r="H102" i="1"/>
  <c r="H102" i="1" a="1"/>
  <c r="G102" i="1"/>
  <c r="G102" i="1" a="1"/>
  <c r="J101" i="1"/>
  <c r="I101" i="1"/>
  <c r="H101" i="1"/>
  <c r="H101" i="1" a="1"/>
  <c r="G101" i="1"/>
  <c r="G101" i="1" a="1"/>
  <c r="J100" i="1"/>
  <c r="I100" i="1"/>
  <c r="H100" i="1"/>
  <c r="H100" i="1" a="1"/>
  <c r="G100" i="1"/>
  <c r="G100" i="1" a="1"/>
  <c r="J99" i="1"/>
  <c r="I99" i="1"/>
  <c r="H99" i="1"/>
  <c r="H99" i="1" a="1"/>
  <c r="G99" i="1"/>
  <c r="G99" i="1" a="1"/>
  <c r="J98" i="1"/>
  <c r="I98" i="1"/>
  <c r="H98" i="1"/>
  <c r="H98" i="1" a="1"/>
  <c r="G98" i="1"/>
  <c r="G98" i="1" a="1"/>
  <c r="J97" i="1"/>
  <c r="I97" i="1"/>
  <c r="H97" i="1"/>
  <c r="H97" i="1" a="1"/>
  <c r="G97" i="1"/>
  <c r="G97" i="1" a="1"/>
  <c r="J96" i="1"/>
  <c r="I96" i="1"/>
  <c r="H96" i="1"/>
  <c r="H96" i="1" a="1"/>
  <c r="G96" i="1"/>
  <c r="G96" i="1" a="1"/>
  <c r="J95" i="1"/>
  <c r="I95" i="1"/>
  <c r="H95" i="1"/>
  <c r="H95" i="1" a="1"/>
  <c r="G95" i="1"/>
  <c r="G95" i="1" a="1"/>
  <c r="J94" i="1"/>
  <c r="I94" i="1"/>
  <c r="H94" i="1"/>
  <c r="H94" i="1" a="1"/>
  <c r="G94" i="1"/>
  <c r="G94" i="1" a="1"/>
  <c r="J93" i="1"/>
  <c r="I93" i="1"/>
  <c r="H93" i="1"/>
  <c r="H93" i="1" a="1"/>
  <c r="G93" i="1"/>
  <c r="G93" i="1" a="1"/>
  <c r="J92" i="1"/>
  <c r="I92" i="1"/>
  <c r="H92" i="1"/>
  <c r="H92" i="1" a="1"/>
  <c r="G92" i="1"/>
  <c r="G92" i="1" a="1"/>
  <c r="J91" i="1"/>
  <c r="I91" i="1"/>
  <c r="H91" i="1"/>
  <c r="H91" i="1" a="1"/>
  <c r="G91" i="1"/>
  <c r="G91" i="1" a="1"/>
  <c r="J90" i="1"/>
  <c r="I90" i="1"/>
  <c r="H90" i="1"/>
  <c r="H90" i="1" a="1"/>
  <c r="G90" i="1"/>
  <c r="G90" i="1" a="1"/>
  <c r="J89" i="1"/>
  <c r="I89" i="1"/>
  <c r="H89" i="1"/>
  <c r="H89" i="1" a="1"/>
  <c r="G89" i="1"/>
  <c r="G89" i="1" a="1"/>
  <c r="J88" i="1"/>
  <c r="I88" i="1"/>
  <c r="H88" i="1"/>
  <c r="H88" i="1" a="1"/>
  <c r="G88" i="1"/>
  <c r="G88" i="1" a="1"/>
  <c r="J87" i="1"/>
  <c r="I87" i="1"/>
  <c r="H87" i="1"/>
  <c r="H87" i="1" a="1"/>
  <c r="G87" i="1"/>
  <c r="G87" i="1" a="1"/>
  <c r="J86" i="1"/>
  <c r="I86" i="1"/>
  <c r="H86" i="1"/>
  <c r="H86" i="1" a="1"/>
  <c r="G86" i="1"/>
  <c r="G86" i="1" a="1"/>
  <c r="J85" i="1"/>
  <c r="I85" i="1"/>
  <c r="H85" i="1"/>
  <c r="H85" i="1" a="1"/>
  <c r="G85" i="1"/>
  <c r="G85" i="1" a="1"/>
  <c r="J84" i="1"/>
  <c r="I84" i="1"/>
  <c r="H84" i="1"/>
  <c r="H84" i="1" a="1"/>
  <c r="G84" i="1"/>
  <c r="G84" i="1" a="1"/>
  <c r="J83" i="1"/>
  <c r="I83" i="1"/>
  <c r="H83" i="1"/>
  <c r="H83" i="1" a="1"/>
  <c r="G83" i="1"/>
  <c r="G83" i="1" a="1"/>
  <c r="J82" i="1"/>
  <c r="I82" i="1"/>
  <c r="H82" i="1"/>
  <c r="H82" i="1" a="1"/>
  <c r="G82" i="1"/>
  <c r="G82" i="1" a="1"/>
  <c r="J81" i="1"/>
  <c r="I81" i="1"/>
  <c r="H81" i="1"/>
  <c r="H81" i="1" a="1"/>
  <c r="G81" i="1"/>
  <c r="G81" i="1" a="1"/>
  <c r="J80" i="1"/>
  <c r="I80" i="1"/>
  <c r="H80" i="1"/>
  <c r="H80" i="1" a="1"/>
  <c r="G80" i="1"/>
  <c r="G80" i="1" a="1"/>
  <c r="J79" i="1"/>
  <c r="I79" i="1"/>
  <c r="H79" i="1"/>
  <c r="H79" i="1" a="1"/>
  <c r="G79" i="1"/>
  <c r="G79" i="1" a="1"/>
  <c r="J78" i="1"/>
  <c r="I78" i="1"/>
  <c r="H78" i="1"/>
  <c r="H78" i="1" a="1"/>
  <c r="G78" i="1"/>
  <c r="G78" i="1" a="1"/>
  <c r="J77" i="1"/>
  <c r="I77" i="1"/>
  <c r="H77" i="1"/>
  <c r="H77" i="1" a="1"/>
  <c r="G77" i="1"/>
  <c r="G77" i="1" a="1"/>
  <c r="J76" i="1"/>
  <c r="I76" i="1"/>
  <c r="H76" i="1"/>
  <c r="H76" i="1" a="1"/>
  <c r="G76" i="1"/>
  <c r="G76" i="1" a="1"/>
  <c r="J75" i="1"/>
  <c r="I75" i="1"/>
  <c r="H75" i="1"/>
  <c r="H75" i="1" a="1"/>
  <c r="G75" i="1"/>
  <c r="G75" i="1" a="1"/>
  <c r="J74" i="1"/>
  <c r="I74" i="1"/>
  <c r="H74" i="1"/>
  <c r="H74" i="1" a="1"/>
  <c r="G74" i="1"/>
  <c r="G74" i="1" a="1"/>
  <c r="J73" i="1"/>
  <c r="I73" i="1"/>
  <c r="H73" i="1"/>
  <c r="H73" i="1" a="1"/>
  <c r="G73" i="1"/>
  <c r="G73" i="1" a="1"/>
  <c r="J72" i="1"/>
  <c r="I72" i="1"/>
  <c r="H72" i="1"/>
  <c r="H72" i="1" a="1"/>
  <c r="G72" i="1"/>
  <c r="G72" i="1" a="1"/>
  <c r="J71" i="1"/>
  <c r="I71" i="1"/>
  <c r="H71" i="1"/>
  <c r="H71" i="1" a="1"/>
  <c r="G71" i="1"/>
  <c r="G71" i="1" a="1"/>
  <c r="J70" i="1"/>
  <c r="I70" i="1"/>
  <c r="H70" i="1"/>
  <c r="H70" i="1" a="1"/>
  <c r="G70" i="1"/>
  <c r="G70" i="1" a="1"/>
  <c r="J69" i="1"/>
  <c r="I69" i="1"/>
  <c r="H69" i="1"/>
  <c r="H69" i="1" a="1"/>
  <c r="G69" i="1"/>
  <c r="G69" i="1" a="1"/>
  <c r="J68" i="1"/>
  <c r="I68" i="1"/>
  <c r="H68" i="1"/>
  <c r="H68" i="1" a="1"/>
  <c r="G68" i="1"/>
  <c r="G68" i="1" a="1"/>
  <c r="J67" i="1"/>
  <c r="I67" i="1"/>
  <c r="H67" i="1"/>
  <c r="H67" i="1" a="1"/>
  <c r="G67" i="1"/>
  <c r="G67" i="1" a="1"/>
  <c r="J66" i="1"/>
  <c r="I66" i="1"/>
  <c r="H66" i="1"/>
  <c r="H66" i="1" a="1"/>
  <c r="G66" i="1"/>
  <c r="G66" i="1" a="1"/>
  <c r="J65" i="1"/>
  <c r="I65" i="1"/>
  <c r="H65" i="1"/>
  <c r="H65" i="1" a="1"/>
  <c r="G65" i="1"/>
  <c r="G65" i="1" a="1"/>
  <c r="J64" i="1"/>
  <c r="I64" i="1"/>
  <c r="H64" i="1"/>
  <c r="H64" i="1" a="1"/>
  <c r="G64" i="1"/>
  <c r="G64" i="1" a="1"/>
  <c r="J63" i="1"/>
  <c r="I63" i="1"/>
  <c r="H63" i="1"/>
  <c r="H63" i="1" a="1"/>
  <c r="G63" i="1"/>
  <c r="G63" i="1" a="1"/>
  <c r="J62" i="1"/>
  <c r="I62" i="1"/>
  <c r="H62" i="1"/>
  <c r="H62" i="1" a="1"/>
  <c r="G62" i="1"/>
  <c r="G62" i="1" a="1"/>
  <c r="J61" i="1"/>
  <c r="I61" i="1"/>
  <c r="H61" i="1"/>
  <c r="H61" i="1" a="1"/>
  <c r="G61" i="1"/>
  <c r="G61" i="1" a="1"/>
  <c r="J60" i="1"/>
  <c r="I60" i="1"/>
  <c r="H60" i="1"/>
  <c r="H60" i="1" a="1"/>
  <c r="G60" i="1"/>
  <c r="G60" i="1" a="1"/>
  <c r="J59" i="1"/>
  <c r="I59" i="1"/>
  <c r="H59" i="1"/>
  <c r="H59" i="1" a="1"/>
  <c r="G59" i="1"/>
  <c r="G59" i="1" a="1"/>
  <c r="J58" i="1"/>
  <c r="I58" i="1"/>
  <c r="H58" i="1"/>
  <c r="H58" i="1" a="1"/>
  <c r="G58" i="1"/>
  <c r="G58" i="1" a="1"/>
  <c r="J57" i="1"/>
  <c r="I57" i="1"/>
  <c r="H57" i="1"/>
  <c r="H57" i="1" a="1"/>
  <c r="G57" i="1"/>
  <c r="G57" i="1" a="1"/>
  <c r="J56" i="1"/>
  <c r="I56" i="1"/>
  <c r="H56" i="1"/>
  <c r="H56" i="1" a="1"/>
  <c r="G56" i="1"/>
  <c r="G56" i="1" a="1"/>
  <c r="J55" i="1"/>
  <c r="I55" i="1"/>
  <c r="H55" i="1"/>
  <c r="H55" i="1" a="1"/>
  <c r="G55" i="1"/>
  <c r="G55" i="1" a="1"/>
  <c r="J54" i="1"/>
  <c r="I54" i="1"/>
  <c r="H54" i="1"/>
  <c r="H54" i="1" a="1"/>
  <c r="G54" i="1"/>
  <c r="G54" i="1" a="1"/>
  <c r="J53" i="1"/>
  <c r="I53" i="1"/>
  <c r="H53" i="1"/>
  <c r="H53" i="1" a="1"/>
  <c r="G53" i="1"/>
  <c r="G53" i="1" a="1"/>
  <c r="J52" i="1"/>
  <c r="I52" i="1"/>
  <c r="H52" i="1"/>
  <c r="H52" i="1" a="1"/>
  <c r="G52" i="1"/>
  <c r="G52" i="1" a="1"/>
  <c r="J51" i="1"/>
  <c r="I51" i="1"/>
  <c r="H51" i="1"/>
  <c r="H51" i="1" a="1"/>
  <c r="G51" i="1"/>
  <c r="G51" i="1" a="1"/>
  <c r="J50" i="1"/>
  <c r="I50" i="1"/>
  <c r="H50" i="1"/>
  <c r="H50" i="1" a="1"/>
  <c r="G50" i="1"/>
  <c r="G50" i="1" a="1"/>
  <c r="J49" i="1"/>
  <c r="I49" i="1"/>
  <c r="H49" i="1"/>
  <c r="H49" i="1" a="1"/>
  <c r="G49" i="1"/>
  <c r="G49" i="1" a="1"/>
  <c r="J48" i="1"/>
  <c r="I48" i="1"/>
  <c r="H48" i="1"/>
  <c r="H48" i="1" a="1"/>
  <c r="G48" i="1"/>
  <c r="G48" i="1" a="1"/>
  <c r="J47" i="1"/>
  <c r="I47" i="1"/>
  <c r="H47" i="1"/>
  <c r="H47" i="1" a="1"/>
  <c r="G47" i="1"/>
  <c r="G47" i="1" a="1"/>
  <c r="J46" i="1"/>
  <c r="I46" i="1"/>
  <c r="H46" i="1"/>
  <c r="H46" i="1" a="1"/>
  <c r="G46" i="1"/>
  <c r="G46" i="1" a="1"/>
  <c r="J45" i="1"/>
  <c r="I45" i="1"/>
  <c r="H45" i="1"/>
  <c r="H45" i="1" a="1"/>
  <c r="G45" i="1"/>
  <c r="G45" i="1" a="1"/>
  <c r="J44" i="1"/>
  <c r="I44" i="1"/>
  <c r="H44" i="1"/>
  <c r="H44" i="1" a="1"/>
  <c r="G44" i="1"/>
  <c r="G44" i="1" a="1"/>
  <c r="J43" i="1"/>
  <c r="I43" i="1"/>
  <c r="H43" i="1"/>
  <c r="H43" i="1" a="1"/>
  <c r="G43" i="1"/>
  <c r="G43" i="1" a="1"/>
  <c r="J42" i="1"/>
  <c r="I42" i="1"/>
  <c r="H42" i="1"/>
  <c r="H42" i="1" a="1"/>
  <c r="G42" i="1"/>
  <c r="G42" i="1" a="1"/>
  <c r="J41" i="1"/>
  <c r="I41" i="1"/>
  <c r="H41" i="1"/>
  <c r="H41" i="1" a="1"/>
  <c r="G41" i="1"/>
  <c r="G41" i="1" a="1"/>
  <c r="J40" i="1"/>
  <c r="I40" i="1"/>
  <c r="H40" i="1"/>
  <c r="H40" i="1" a="1"/>
  <c r="G40" i="1"/>
  <c r="G40" i="1" a="1"/>
  <c r="J39" i="1"/>
  <c r="I39" i="1"/>
  <c r="H39" i="1"/>
  <c r="H39" i="1" a="1"/>
  <c r="G39" i="1"/>
  <c r="G39" i="1" a="1"/>
  <c r="J38" i="1"/>
  <c r="I38" i="1"/>
  <c r="H38" i="1"/>
  <c r="H38" i="1" a="1"/>
  <c r="G38" i="1"/>
  <c r="G38" i="1" a="1"/>
  <c r="J37" i="1"/>
  <c r="I37" i="1"/>
  <c r="H37" i="1"/>
  <c r="H37" i="1" a="1"/>
  <c r="G37" i="1"/>
  <c r="G37" i="1" a="1"/>
  <c r="J36" i="1"/>
  <c r="I36" i="1"/>
  <c r="H36" i="1"/>
  <c r="H36" i="1" a="1"/>
  <c r="G36" i="1"/>
  <c r="G36" i="1" a="1"/>
  <c r="J35" i="1"/>
  <c r="I35" i="1"/>
  <c r="H35" i="1"/>
  <c r="H35" i="1" a="1"/>
  <c r="G35" i="1"/>
  <c r="G35" i="1" a="1"/>
  <c r="J34" i="1"/>
  <c r="I34" i="1"/>
  <c r="H34" i="1"/>
  <c r="H34" i="1" a="1"/>
  <c r="G34" i="1"/>
  <c r="G34" i="1" a="1"/>
  <c r="J33" i="1"/>
  <c r="I33" i="1"/>
  <c r="H33" i="1"/>
  <c r="H33" i="1" a="1"/>
  <c r="G33" i="1"/>
  <c r="G33" i="1" a="1"/>
  <c r="J32" i="1"/>
  <c r="I32" i="1"/>
  <c r="H32" i="1"/>
  <c r="H32" i="1" a="1"/>
  <c r="G32" i="1"/>
  <c r="G32" i="1" a="1"/>
  <c r="J31" i="1"/>
  <c r="I31" i="1"/>
  <c r="H31" i="1"/>
  <c r="H31" i="1" a="1"/>
  <c r="G31" i="1"/>
  <c r="G31" i="1" a="1"/>
  <c r="J30" i="1"/>
  <c r="I30" i="1"/>
  <c r="H30" i="1"/>
  <c r="H30" i="1" a="1"/>
  <c r="G30" i="1"/>
  <c r="G30" i="1" a="1"/>
  <c r="J29" i="1"/>
  <c r="I29" i="1"/>
  <c r="H29" i="1"/>
  <c r="H29" i="1" a="1"/>
  <c r="G29" i="1"/>
  <c r="G29" i="1" a="1"/>
  <c r="J28" i="1"/>
  <c r="I28" i="1"/>
  <c r="H28" i="1"/>
  <c r="H28" i="1" a="1"/>
  <c r="G28" i="1"/>
  <c r="G28" i="1" a="1"/>
  <c r="J27" i="1"/>
  <c r="I27" i="1"/>
  <c r="H27" i="1"/>
  <c r="H27" i="1" a="1"/>
  <c r="G27" i="1"/>
  <c r="G27" i="1" a="1"/>
  <c r="J26" i="1"/>
  <c r="I26" i="1"/>
  <c r="H26" i="1"/>
  <c r="H26" i="1" a="1"/>
  <c r="G26" i="1"/>
  <c r="G26" i="1" a="1"/>
  <c r="J25" i="1"/>
  <c r="I25" i="1"/>
  <c r="H25" i="1"/>
  <c r="H25" i="1" a="1"/>
  <c r="G25" i="1"/>
  <c r="G25" i="1" a="1"/>
  <c r="J24" i="1"/>
  <c r="I24" i="1"/>
  <c r="H24" i="1"/>
  <c r="H24" i="1" a="1"/>
  <c r="G24" i="1"/>
  <c r="G24" i="1" a="1"/>
  <c r="J23" i="1"/>
  <c r="I23" i="1"/>
  <c r="H23" i="1"/>
  <c r="H23" i="1" a="1"/>
  <c r="G23" i="1"/>
  <c r="G23" i="1" a="1"/>
  <c r="J22" i="1"/>
  <c r="I22" i="1"/>
  <c r="H22" i="1"/>
  <c r="H22" i="1" a="1"/>
  <c r="G22" i="1"/>
  <c r="G22" i="1" a="1"/>
  <c r="J21" i="1"/>
  <c r="I21" i="1"/>
  <c r="H21" i="1"/>
  <c r="H21" i="1" a="1"/>
  <c r="G21" i="1"/>
  <c r="G21" i="1" a="1"/>
  <c r="J20" i="1"/>
  <c r="I20" i="1"/>
  <c r="H20" i="1"/>
  <c r="H20" i="1" a="1"/>
  <c r="G20" i="1"/>
  <c r="G20" i="1" a="1"/>
  <c r="J19" i="1"/>
  <c r="I19" i="1"/>
  <c r="H19" i="1"/>
  <c r="H19" i="1" a="1"/>
  <c r="G19" i="1"/>
  <c r="G19" i="1" a="1"/>
  <c r="J18" i="1"/>
  <c r="I18" i="1"/>
  <c r="H18" i="1"/>
  <c r="H18" i="1" a="1"/>
  <c r="G18" i="1"/>
  <c r="G18" i="1" a="1"/>
  <c r="J17" i="1"/>
  <c r="I17" i="1"/>
  <c r="H17" i="1"/>
  <c r="H17" i="1" a="1"/>
  <c r="G17" i="1"/>
  <c r="G17" i="1" a="1"/>
  <c r="J16" i="1"/>
  <c r="I16" i="1"/>
  <c r="H16" i="1"/>
  <c r="H16" i="1" a="1"/>
  <c r="G16" i="1"/>
  <c r="G16" i="1" a="1"/>
  <c r="J15" i="1"/>
  <c r="I15" i="1"/>
  <c r="H15" i="1"/>
  <c r="H15" i="1" a="1"/>
  <c r="G15" i="1"/>
  <c r="G15" i="1" a="1"/>
  <c r="J14" i="1"/>
  <c r="I14" i="1"/>
  <c r="H14" i="1"/>
  <c r="H14" i="1" a="1"/>
  <c r="G14" i="1"/>
  <c r="G14" i="1" a="1"/>
  <c r="J13" i="1"/>
  <c r="I13" i="1"/>
  <c r="H13" i="1"/>
  <c r="H13" i="1" a="1"/>
  <c r="G13" i="1"/>
  <c r="G13" i="1" a="1"/>
  <c r="J12" i="1"/>
  <c r="I12" i="1"/>
  <c r="H12" i="1"/>
  <c r="H12" i="1" a="1"/>
  <c r="G12" i="1"/>
  <c r="G12" i="1" a="1"/>
  <c r="J11" i="1"/>
  <c r="I11" i="1"/>
  <c r="H11" i="1"/>
  <c r="H11" i="1" a="1"/>
  <c r="G11" i="1"/>
  <c r="G11" i="1" a="1"/>
  <c r="J10" i="1"/>
  <c r="I10" i="1"/>
  <c r="H10" i="1"/>
  <c r="H10" i="1" a="1"/>
  <c r="G10" i="1"/>
  <c r="G10" i="1" a="1"/>
  <c r="K9" i="1"/>
  <c r="K9" i="1" a="1"/>
  <c r="J9" i="1"/>
  <c r="I9" i="1"/>
  <c r="H9" i="1"/>
  <c r="H9" i="1" a="1"/>
  <c r="G9" i="1"/>
  <c r="G9" i="1" a="1"/>
  <c r="J8" i="1"/>
  <c r="I8" i="1"/>
  <c r="H8" i="1"/>
  <c r="H8" i="1" a="1"/>
  <c r="G8" i="1"/>
  <c r="G8" i="1" a="1"/>
  <c r="J7" i="1"/>
  <c r="I7" i="1"/>
  <c r="H7" i="1"/>
  <c r="H7" i="1" a="1"/>
  <c r="G7" i="1"/>
  <c r="G7" i="1" a="1"/>
  <c r="J6" i="1"/>
  <c r="I6" i="1"/>
  <c r="H6" i="1"/>
  <c r="H6" i="1" a="1"/>
  <c r="G6" i="1"/>
  <c r="G6" i="1" a="1"/>
  <c r="J5" i="1"/>
  <c r="I5" i="1"/>
  <c r="H5" i="1"/>
  <c r="H5" i="1" a="1"/>
  <c r="G5" i="1"/>
  <c r="G5" i="1" a="1"/>
  <c r="J4" i="1"/>
  <c r="I4" i="1"/>
  <c r="H4" i="1"/>
  <c r="H4" i="1" a="1"/>
  <c r="G4" i="1"/>
  <c r="G4" i="1" a="1"/>
  <c r="J3" i="1"/>
  <c r="I3" i="1"/>
  <c r="H3" i="1"/>
  <c r="H3" i="1" a="1"/>
  <c r="G3" i="1"/>
  <c r="G3" i="1" a="1"/>
  <c r="J2" i="1"/>
  <c r="I2" i="1"/>
  <c r="H2" i="1"/>
  <c r="H2" i="1" a="1"/>
  <c r="G2" i="1"/>
  <c r="G2" i="1" a="1"/>
  <c r="H5" i="10"/>
  <c r="E5" i="10"/>
  <c r="B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EA0723-EA96-406F-92A7-8C2FE78879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B0B4EC1-2392-4E7D-9A9D-0CA5AE12B8CD}" name="WorksheetConnection_Advanced_Excel_Data_Analyst_Practice.xlsx!Cuatomerstable" type="102" refreshedVersion="8" minRefreshableVersion="5">
    <extLst>
      <ext xmlns:x15="http://schemas.microsoft.com/office/spreadsheetml/2010/11/main" uri="{DE250136-89BD-433C-8126-D09CA5730AF9}">
        <x15:connection id="Cuatomerstable">
          <x15:rangePr sourceName="_xlcn.WorksheetConnection_Advanced_Excel_Data_Analyst_Practice.xlsxCuatomerstable1"/>
        </x15:connection>
      </ext>
    </extLst>
  </connection>
  <connection id="3" xr16:uid="{AF33E214-99B1-40F6-B68F-4AD9F9705C59}" name="WorksheetConnection_Advanced_Excel_Data_Analyst_Practice.xlsx!ProductsTable" type="102" refreshedVersion="8" minRefreshableVersion="5">
    <extLst>
      <ext xmlns:x15="http://schemas.microsoft.com/office/spreadsheetml/2010/11/main" uri="{DE250136-89BD-433C-8126-D09CA5730AF9}">
        <x15:connection id="ProductsTable">
          <x15:rangePr sourceName="_xlcn.WorksheetConnection_Advanced_Excel_Data_Analyst_Practice.xlsxProductsTable1"/>
        </x15:connection>
      </ext>
    </extLst>
  </connection>
  <connection id="4" xr16:uid="{7DD4BC7A-FF1F-4D02-94D8-83AE16D9BC36}" name="WorksheetConnection_Advanced_Excel_Data_Analyst_Practice.xlsx!SALESTABLE" type="102" refreshedVersion="8" minRefreshableVersion="5">
    <extLst>
      <ext xmlns:x15="http://schemas.microsoft.com/office/spreadsheetml/2010/11/main" uri="{DE250136-89BD-433C-8126-D09CA5730AF9}">
        <x15:connection id="SALESTABLE">
          <x15:rangePr sourceName="_xlcn.WorksheetConnection_Advanced_Excel_Data_Analyst_Practice.xlsxSALES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<sst xmlns="http://schemas.openxmlformats.org/spreadsheetml/2006/main" count="3586" uniqueCount="1338">
  <si>
    <t>Order_ID</t>
  </si>
  <si>
    <t>Order_Date</t>
  </si>
  <si>
    <t>Customer_ID</t>
  </si>
  <si>
    <t>Product_ID</t>
  </si>
  <si>
    <t>Quantity</t>
  </si>
  <si>
    <t>Discount_%</t>
  </si>
  <si>
    <t>O00001</t>
  </si>
  <si>
    <t>C028</t>
  </si>
  <si>
    <t>P007</t>
  </si>
  <si>
    <t>O00002</t>
  </si>
  <si>
    <t>C013</t>
  </si>
  <si>
    <t>P017</t>
  </si>
  <si>
    <t>O00003</t>
  </si>
  <si>
    <t>P019</t>
  </si>
  <si>
    <t>O00004</t>
  </si>
  <si>
    <t>C070</t>
  </si>
  <si>
    <t>P009</t>
  </si>
  <si>
    <t>O00005</t>
  </si>
  <si>
    <t>C032</t>
  </si>
  <si>
    <t>P021</t>
  </si>
  <si>
    <t>O00006</t>
  </si>
  <si>
    <t>C054</t>
  </si>
  <si>
    <t>P008</t>
  </si>
  <si>
    <t>O00007</t>
  </si>
  <si>
    <t>C074</t>
  </si>
  <si>
    <t>P020</t>
  </si>
  <si>
    <t>O00008</t>
  </si>
  <si>
    <t>C065</t>
  </si>
  <si>
    <t>P029</t>
  </si>
  <si>
    <t>O00009</t>
  </si>
  <si>
    <t>C063</t>
  </si>
  <si>
    <t>P024</t>
  </si>
  <si>
    <t>O00010</t>
  </si>
  <si>
    <t>C089</t>
  </si>
  <si>
    <t>P002</t>
  </si>
  <si>
    <t>O00011</t>
  </si>
  <si>
    <t>C045</t>
  </si>
  <si>
    <t>O00012</t>
  </si>
  <si>
    <t>C090</t>
  </si>
  <si>
    <t>O00013</t>
  </si>
  <si>
    <t>C023</t>
  </si>
  <si>
    <t>P025</t>
  </si>
  <si>
    <t>O00014</t>
  </si>
  <si>
    <t>C035</t>
  </si>
  <si>
    <t>P004</t>
  </si>
  <si>
    <t>O00015</t>
  </si>
  <si>
    <t>C086</t>
  </si>
  <si>
    <t>O00016</t>
  </si>
  <si>
    <t>C059</t>
  </si>
  <si>
    <t>P001</t>
  </si>
  <si>
    <t>O00017</t>
  </si>
  <si>
    <t>C005</t>
  </si>
  <si>
    <t>P027</t>
  </si>
  <si>
    <t>O00018</t>
  </si>
  <si>
    <t>C096</t>
  </si>
  <si>
    <t>O00019</t>
  </si>
  <si>
    <t>O00020</t>
  </si>
  <si>
    <t>P014</t>
  </si>
  <si>
    <t>O00021</t>
  </si>
  <si>
    <t>C092</t>
  </si>
  <si>
    <t>O00022</t>
  </si>
  <si>
    <t>C052</t>
  </si>
  <si>
    <t>O00023</t>
  </si>
  <si>
    <t>C077</t>
  </si>
  <si>
    <t>O00024</t>
  </si>
  <si>
    <t>C016</t>
  </si>
  <si>
    <t>O00025</t>
  </si>
  <si>
    <t>C071</t>
  </si>
  <si>
    <t>O00026</t>
  </si>
  <si>
    <t>C094</t>
  </si>
  <si>
    <t>O00027</t>
  </si>
  <si>
    <t>C007</t>
  </si>
  <si>
    <t>O00028</t>
  </si>
  <si>
    <t>C049</t>
  </si>
  <si>
    <t>P026</t>
  </si>
  <si>
    <t>O00029</t>
  </si>
  <si>
    <t>C056</t>
  </si>
  <si>
    <t>P003</t>
  </si>
  <si>
    <t>O00030</t>
  </si>
  <si>
    <t>C008</t>
  </si>
  <si>
    <t>O00031</t>
  </si>
  <si>
    <t>C076</t>
  </si>
  <si>
    <t>O00032</t>
  </si>
  <si>
    <t>C053</t>
  </si>
  <si>
    <t>P010</t>
  </si>
  <si>
    <t>O00033</t>
  </si>
  <si>
    <t>C099</t>
  </si>
  <si>
    <t>O00034</t>
  </si>
  <si>
    <t>C069</t>
  </si>
  <si>
    <t>O00035</t>
  </si>
  <si>
    <t>C081</t>
  </si>
  <si>
    <t>O00036</t>
  </si>
  <si>
    <t>C095</t>
  </si>
  <si>
    <t>P030</t>
  </si>
  <si>
    <t>O00037</t>
  </si>
  <si>
    <t>O00038</t>
  </si>
  <si>
    <t>C029</t>
  </si>
  <si>
    <t>P028</t>
  </si>
  <si>
    <t>O00039</t>
  </si>
  <si>
    <t>C034</t>
  </si>
  <si>
    <t>P005</t>
  </si>
  <si>
    <t>O00040</t>
  </si>
  <si>
    <t>C009</t>
  </si>
  <si>
    <t>O00041</t>
  </si>
  <si>
    <t>C024</t>
  </si>
  <si>
    <t>O00042</t>
  </si>
  <si>
    <t>C091</t>
  </si>
  <si>
    <t>P018</t>
  </si>
  <si>
    <t>O00043</t>
  </si>
  <si>
    <t>O00044</t>
  </si>
  <si>
    <t>P006</t>
  </si>
  <si>
    <t>O00045</t>
  </si>
  <si>
    <t>C073</t>
  </si>
  <si>
    <t>P016</t>
  </si>
  <si>
    <t>O00046</t>
  </si>
  <si>
    <t>O00047</t>
  </si>
  <si>
    <t>C037</t>
  </si>
  <si>
    <t>O00048</t>
  </si>
  <si>
    <t>C068</t>
  </si>
  <si>
    <t>O00049</t>
  </si>
  <si>
    <t>C064</t>
  </si>
  <si>
    <t>O00050</t>
  </si>
  <si>
    <t>C078</t>
  </si>
  <si>
    <t>O00051</t>
  </si>
  <si>
    <t>O00052</t>
  </si>
  <si>
    <t>P022</t>
  </si>
  <si>
    <t>O00053</t>
  </si>
  <si>
    <t>P011</t>
  </si>
  <si>
    <t>O00054</t>
  </si>
  <si>
    <t>C002</t>
  </si>
  <si>
    <t>O00055</t>
  </si>
  <si>
    <t>C062</t>
  </si>
  <si>
    <t>O00056</t>
  </si>
  <si>
    <t>P023</t>
  </si>
  <si>
    <t>O00057</t>
  </si>
  <si>
    <t>O00058</t>
  </si>
  <si>
    <t>C087</t>
  </si>
  <si>
    <t>P012</t>
  </si>
  <si>
    <t>O00059</t>
  </si>
  <si>
    <t>P013</t>
  </si>
  <si>
    <t>O00060</t>
  </si>
  <si>
    <t>O00061</t>
  </si>
  <si>
    <t>C088</t>
  </si>
  <si>
    <t>O00062</t>
  </si>
  <si>
    <t>C014</t>
  </si>
  <si>
    <t>O00063</t>
  </si>
  <si>
    <t>C047</t>
  </si>
  <si>
    <t>O00064</t>
  </si>
  <si>
    <t>O00065</t>
  </si>
  <si>
    <t>C020</t>
  </si>
  <si>
    <t>O00066</t>
  </si>
  <si>
    <t>O00067</t>
  </si>
  <si>
    <t>O00068</t>
  </si>
  <si>
    <t>O00069</t>
  </si>
  <si>
    <t>C079</t>
  </si>
  <si>
    <t>O00070</t>
  </si>
  <si>
    <t>C033</t>
  </si>
  <si>
    <t>O00071</t>
  </si>
  <si>
    <t>O00072</t>
  </si>
  <si>
    <t>C042</t>
  </si>
  <si>
    <t>O00073</t>
  </si>
  <si>
    <t>C027</t>
  </si>
  <si>
    <t>O00074</t>
  </si>
  <si>
    <t>O00075</t>
  </si>
  <si>
    <t>O00076</t>
  </si>
  <si>
    <t>C066</t>
  </si>
  <si>
    <t>O00077</t>
  </si>
  <si>
    <t>C044</t>
  </si>
  <si>
    <t>O00078</t>
  </si>
  <si>
    <t>C017</t>
  </si>
  <si>
    <t>O00079</t>
  </si>
  <si>
    <t>C060</t>
  </si>
  <si>
    <t>O00080</t>
  </si>
  <si>
    <t>O00081</t>
  </si>
  <si>
    <t>C006</t>
  </si>
  <si>
    <t>O00082</t>
  </si>
  <si>
    <t>O00083</t>
  </si>
  <si>
    <t>C093</t>
  </si>
  <si>
    <t>O00084</t>
  </si>
  <si>
    <t>C084</t>
  </si>
  <si>
    <t>O00085</t>
  </si>
  <si>
    <t>C010</t>
  </si>
  <si>
    <t>O00086</t>
  </si>
  <si>
    <t>O00087</t>
  </si>
  <si>
    <t>C001</t>
  </si>
  <si>
    <t>O00088</t>
  </si>
  <si>
    <t>O00089</t>
  </si>
  <si>
    <t>C011</t>
  </si>
  <si>
    <t>O00090</t>
  </si>
  <si>
    <t>O00091</t>
  </si>
  <si>
    <t>C012</t>
  </si>
  <si>
    <t>O00092</t>
  </si>
  <si>
    <t>O00093</t>
  </si>
  <si>
    <t>C048</t>
  </si>
  <si>
    <t>O00094</t>
  </si>
  <si>
    <t>C055</t>
  </si>
  <si>
    <t>O00095</t>
  </si>
  <si>
    <t>O00096</t>
  </si>
  <si>
    <t>C083</t>
  </si>
  <si>
    <t>O00097</t>
  </si>
  <si>
    <t>O00098</t>
  </si>
  <si>
    <t>O00099</t>
  </si>
  <si>
    <t>O00100</t>
  </si>
  <si>
    <t>O00101</t>
  </si>
  <si>
    <t>O00102</t>
  </si>
  <si>
    <t>O00103</t>
  </si>
  <si>
    <t>O00104</t>
  </si>
  <si>
    <t>O00105</t>
  </si>
  <si>
    <t>O00106</t>
  </si>
  <si>
    <t>C061</t>
  </si>
  <si>
    <t>O00107</t>
  </si>
  <si>
    <t>O00108</t>
  </si>
  <si>
    <t>O00109</t>
  </si>
  <si>
    <t>O00110</t>
  </si>
  <si>
    <t>O00111</t>
  </si>
  <si>
    <t>O00112</t>
  </si>
  <si>
    <t>O00113</t>
  </si>
  <si>
    <t>O00114</t>
  </si>
  <si>
    <t>O00115</t>
  </si>
  <si>
    <t>O00116</t>
  </si>
  <si>
    <t>O00117</t>
  </si>
  <si>
    <t>O00118</t>
  </si>
  <si>
    <t>O00119</t>
  </si>
  <si>
    <t>C058</t>
  </si>
  <si>
    <t>O00120</t>
  </si>
  <si>
    <t>C031</t>
  </si>
  <si>
    <t>O00121</t>
  </si>
  <si>
    <t>O00122</t>
  </si>
  <si>
    <t>O00123</t>
  </si>
  <si>
    <t>C030</t>
  </si>
  <si>
    <t>O00124</t>
  </si>
  <si>
    <t>O00125</t>
  </si>
  <si>
    <t>O00126</t>
  </si>
  <si>
    <t>O00127</t>
  </si>
  <si>
    <t>O00128</t>
  </si>
  <si>
    <t>O00129</t>
  </si>
  <si>
    <t>O00130</t>
  </si>
  <si>
    <t>C025</t>
  </si>
  <si>
    <t>O00131</t>
  </si>
  <si>
    <t>O00132</t>
  </si>
  <si>
    <t>O00133</t>
  </si>
  <si>
    <t>O00134</t>
  </si>
  <si>
    <t>O00135</t>
  </si>
  <si>
    <t>O00136</t>
  </si>
  <si>
    <t>O00137</t>
  </si>
  <si>
    <t>C004</t>
  </si>
  <si>
    <t>O00138</t>
  </si>
  <si>
    <t>C097</t>
  </si>
  <si>
    <t>P015</t>
  </si>
  <si>
    <t>O00139</t>
  </si>
  <si>
    <t>O00140</t>
  </si>
  <si>
    <t>C072</t>
  </si>
  <si>
    <t>O00141</t>
  </si>
  <si>
    <t>O00142</t>
  </si>
  <si>
    <t>O00143</t>
  </si>
  <si>
    <t>O00144</t>
  </si>
  <si>
    <t>O00145</t>
  </si>
  <si>
    <t>C036</t>
  </si>
  <si>
    <t>O00146</t>
  </si>
  <si>
    <t>O00147</t>
  </si>
  <si>
    <t>O00148</t>
  </si>
  <si>
    <t>O00149</t>
  </si>
  <si>
    <t>O00150</t>
  </si>
  <si>
    <t>O00151</t>
  </si>
  <si>
    <t>O00152</t>
  </si>
  <si>
    <t>C043</t>
  </si>
  <si>
    <t>O00153</t>
  </si>
  <si>
    <t>O00154</t>
  </si>
  <si>
    <t>O00155</t>
  </si>
  <si>
    <t>O00156</t>
  </si>
  <si>
    <t>C026</t>
  </si>
  <si>
    <t>O00157</t>
  </si>
  <si>
    <t>O00158</t>
  </si>
  <si>
    <t>O00159</t>
  </si>
  <si>
    <t>C067</t>
  </si>
  <si>
    <t>O00160</t>
  </si>
  <si>
    <t>O00161</t>
  </si>
  <si>
    <t>O00162</t>
  </si>
  <si>
    <t>O00163</t>
  </si>
  <si>
    <t>O00164</t>
  </si>
  <si>
    <t>O00165</t>
  </si>
  <si>
    <t>O00166</t>
  </si>
  <si>
    <t>O00167</t>
  </si>
  <si>
    <t>O00168</t>
  </si>
  <si>
    <t>C040</t>
  </si>
  <si>
    <t>O00169</t>
  </si>
  <si>
    <t>O00170</t>
  </si>
  <si>
    <t>O00171</t>
  </si>
  <si>
    <t>O00172</t>
  </si>
  <si>
    <t>C041</t>
  </si>
  <si>
    <t>O00173</t>
  </si>
  <si>
    <t>O00174</t>
  </si>
  <si>
    <t>C050</t>
  </si>
  <si>
    <t>O00175</t>
  </si>
  <si>
    <t>C082</t>
  </si>
  <si>
    <t>O00176</t>
  </si>
  <si>
    <t>O00177</t>
  </si>
  <si>
    <t>C019</t>
  </si>
  <si>
    <t>O00178</t>
  </si>
  <si>
    <t>O00179</t>
  </si>
  <si>
    <t>O00180</t>
  </si>
  <si>
    <t>C039</t>
  </si>
  <si>
    <t>O00181</t>
  </si>
  <si>
    <t>O00182</t>
  </si>
  <si>
    <t>C080</t>
  </si>
  <si>
    <t>O00183</t>
  </si>
  <si>
    <t>C075</t>
  </si>
  <si>
    <t>O00184</t>
  </si>
  <si>
    <t>O00185</t>
  </si>
  <si>
    <t>O00186</t>
  </si>
  <si>
    <t>O00187</t>
  </si>
  <si>
    <t>C046</t>
  </si>
  <si>
    <t>O00188</t>
  </si>
  <si>
    <t>O00189</t>
  </si>
  <si>
    <t>O00190</t>
  </si>
  <si>
    <t>O00191</t>
  </si>
  <si>
    <t>O00192</t>
  </si>
  <si>
    <t>O00193</t>
  </si>
  <si>
    <t>C098</t>
  </si>
  <si>
    <t>O00194</t>
  </si>
  <si>
    <t>O00195</t>
  </si>
  <si>
    <t>O00196</t>
  </si>
  <si>
    <t>O00197</t>
  </si>
  <si>
    <t>O00198</t>
  </si>
  <si>
    <t>O00199</t>
  </si>
  <si>
    <t>O00200</t>
  </si>
  <si>
    <t>O00201</t>
  </si>
  <si>
    <t>O00202</t>
  </si>
  <si>
    <t>O00203</t>
  </si>
  <si>
    <t>O00204</t>
  </si>
  <si>
    <t>O00205</t>
  </si>
  <si>
    <t>C015</t>
  </si>
  <si>
    <t>O00206</t>
  </si>
  <si>
    <t>O00207</t>
  </si>
  <si>
    <t>O00208</t>
  </si>
  <si>
    <t>O00209</t>
  </si>
  <si>
    <t>O00210</t>
  </si>
  <si>
    <t>O00211</t>
  </si>
  <si>
    <t>O00212</t>
  </si>
  <si>
    <t>O00213</t>
  </si>
  <si>
    <t>O00214</t>
  </si>
  <si>
    <t>O00215</t>
  </si>
  <si>
    <t>O00216</t>
  </si>
  <si>
    <t>O00217</t>
  </si>
  <si>
    <t>O00218</t>
  </si>
  <si>
    <t>O00219</t>
  </si>
  <si>
    <t>O00220</t>
  </si>
  <si>
    <t>O00221</t>
  </si>
  <si>
    <t>C057</t>
  </si>
  <si>
    <t>O00222</t>
  </si>
  <si>
    <t>O00223</t>
  </si>
  <si>
    <t>O00224</t>
  </si>
  <si>
    <t>C038</t>
  </si>
  <si>
    <t>O00225</t>
  </si>
  <si>
    <t>O00226</t>
  </si>
  <si>
    <t>O00227</t>
  </si>
  <si>
    <t>C003</t>
  </si>
  <si>
    <t>O00228</t>
  </si>
  <si>
    <t>O00229</t>
  </si>
  <si>
    <t>O00230</t>
  </si>
  <si>
    <t>O00231</t>
  </si>
  <si>
    <t>O00232</t>
  </si>
  <si>
    <t>O00233</t>
  </si>
  <si>
    <t>O00234</t>
  </si>
  <si>
    <t>O00235</t>
  </si>
  <si>
    <t>O00236</t>
  </si>
  <si>
    <t>C100</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</si>
  <si>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</si>
  <si>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</si>
  <si>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</si>
  <si>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</si>
  <si>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</si>
  <si>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</si>
  <si>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</si>
  <si>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</si>
  <si>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</si>
  <si>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</si>
  <si>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</si>
  <si>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</si>
  <si>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</si>
  <si>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</si>
  <si>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</si>
  <si>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</si>
  <si>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</si>
  <si>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</si>
  <si>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</si>
  <si>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</si>
  <si>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</si>
  <si>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</si>
  <si>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</si>
  <si>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</si>
  <si>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</si>
  <si>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C022</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</si>
  <si>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</si>
  <si>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</si>
  <si>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</si>
  <si>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</si>
  <si>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</si>
  <si>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</si>
  <si>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</si>
  <si>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</si>
  <si>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</si>
  <si>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</si>
  <si>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</si>
  <si>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</si>
  <si>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</si>
  <si>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</si>
  <si>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</si>
  <si>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</si>
  <si>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</si>
  <si>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</si>
  <si>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</si>
  <si>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</si>
  <si>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</si>
  <si>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</si>
  <si>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C085</t>
  </si>
  <si>
    <t>O00284</t>
  </si>
  <si>
    <t>O00285</t>
  </si>
  <si>
    <t>O00286</t>
  </si>
  <si>
    <t>O00287</t>
  </si>
  <si>
    <t>O00288</t>
  </si>
  <si>
    <t>O00289</t>
  </si>
  <si>
    <t>O00290</t>
  </si>
  <si>
    <t>O00291</t>
  </si>
  <si>
    <t>O00292</t>
  </si>
  <si>
    <t>O00293</t>
  </si>
  <si>
    <t>O00294</t>
  </si>
  <si>
    <t>O00295</t>
  </si>
  <si>
    <t>O00296</t>
  </si>
  <si>
    <t>O00297</t>
  </si>
  <si>
    <t>C051</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</si>
  <si>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</si>
  <si>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</si>
  <si>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</si>
  <si>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</si>
  <si>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</si>
  <si>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</si>
  <si>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</si>
  <si>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</si>
  <si>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</si>
  <si>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</si>
  <si>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</si>
  <si>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</si>
  <si>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</si>
  <si>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</si>
  <si>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</si>
  <si>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</si>
  <si>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</si>
  <si>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</si>
  <si>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</si>
  <si>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</si>
  <si>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</si>
  <si>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</si>
  <si>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</si>
  <si>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</si>
  <si>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</si>
  <si>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</si>
  <si>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</si>
  <si>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</si>
  <si>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</si>
  <si>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</si>
  <si>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</si>
  <si>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</si>
  <si>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</si>
  <si>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</si>
  <si>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</si>
  <si>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</si>
  <si>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</si>
  <si>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</si>
  <si>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</si>
  <si>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</si>
  <si>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</si>
  <si>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</si>
  <si>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</si>
  <si>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</si>
  <si>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</si>
  <si>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</si>
  <si>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</si>
  <si>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</si>
  <si>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</si>
  <si>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</si>
  <si>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</si>
  <si>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</si>
  <si>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</si>
  <si>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</si>
  <si>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</si>
  <si>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</si>
  <si>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</si>
  <si>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</si>
  <si>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</si>
  <si>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</si>
  <si>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</si>
  <si>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</si>
  <si>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</si>
  <si>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O00361</t>
  </si>
  <si>
    <t>O00362</t>
  </si>
  <si>
    <t>O00363</t>
  </si>
  <si>
    <t>O00364</t>
  </si>
  <si>
    <t>O00365</t>
  </si>
  <si>
    <t>O00366</t>
  </si>
  <si>
    <t>O00367</t>
  </si>
  <si>
    <t>O00368</t>
  </si>
  <si>
    <t>O00369</t>
  </si>
  <si>
    <t>O00370</t>
  </si>
  <si>
    <t>O00371</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</si>
  <si>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</si>
  <si>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</si>
  <si>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</si>
  <si>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</si>
  <si>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</si>
  <si>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</si>
  <si>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</si>
  <si>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</si>
  <si>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</si>
  <si>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</si>
  <si>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</si>
  <si>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</si>
  <si>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</si>
  <si>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</si>
  <si>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</si>
  <si>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</si>
  <si>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</si>
  <si>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</si>
  <si>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</si>
  <si>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</si>
  <si>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</si>
  <si>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</si>
  <si>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</si>
  <si>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</si>
  <si>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</si>
  <si>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</si>
  <si>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</si>
  <si>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</si>
  <si>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</si>
  <si>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</si>
  <si>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</si>
  <si>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</si>
  <si>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</si>
  <si>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</si>
  <si>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</si>
  <si>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</si>
  <si>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</si>
  <si>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</si>
  <si>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</si>
  <si>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</si>
  <si>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</si>
  <si>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</si>
  <si>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</si>
  <si>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</si>
  <si>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</si>
  <si>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</si>
  <si>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</si>
  <si>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</si>
  <si>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</si>
  <si>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</si>
  <si>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</si>
  <si>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</si>
  <si>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</si>
  <si>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</si>
  <si>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</si>
  <si>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</si>
  <si>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</si>
  <si>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O00429</t>
  </si>
  <si>
    <t>O00430</t>
  </si>
  <si>
    <t>O00431</t>
  </si>
  <si>
    <t>O00432</t>
  </si>
  <si>
    <t>O00433</t>
  </si>
  <si>
    <t>O00434</t>
  </si>
  <si>
    <t>O00435</t>
  </si>
  <si>
    <t>O00436</t>
  </si>
  <si>
    <t>O00437</t>
  </si>
  <si>
    <t>O00438</t>
  </si>
  <si>
    <t>O00439</t>
  </si>
  <si>
    <t>O00440</t>
  </si>
  <si>
    <t>O00441</t>
  </si>
  <si>
    <t>C021</t>
  </si>
  <si>
    <t>O00442</t>
  </si>
  <si>
    <t>O00443</t>
  </si>
  <si>
    <t>O00444</t>
  </si>
  <si>
    <t>O00445</t>
  </si>
  <si>
    <t>O00446</t>
  </si>
  <si>
    <t>O00447</t>
  </si>
  <si>
    <t>O00448</t>
  </si>
  <si>
    <t>O00449</t>
  </si>
  <si>
    <t>O00450</t>
  </si>
  <si>
    <t>O00451</t>
  </si>
  <si>
    <t>O00452</t>
  </si>
  <si>
    <t>O00453</t>
  </si>
  <si>
    <t>O00454</t>
  </si>
  <si>
    <t>O00455</t>
  </si>
  <si>
    <t>O00456</t>
  </si>
  <si>
    <t>O00457</t>
  </si>
  <si>
    <t>O00458</t>
  </si>
  <si>
    <t>O00459</t>
  </si>
  <si>
    <t>O00460</t>
  </si>
  <si>
    <t>O00461</t>
  </si>
  <si>
    <t>O00462</t>
  </si>
  <si>
    <t>O00463</t>
  </si>
  <si>
    <t>O00464</t>
  </si>
  <si>
    <t>O00465</t>
  </si>
  <si>
    <t>O00466</t>
  </si>
  <si>
    <t>O00467</t>
  </si>
  <si>
    <t>C018</t>
  </si>
  <si>
    <t>O00468</t>
  </si>
  <si>
    <t>O00469</t>
  </si>
  <si>
    <t>O00470</t>
  </si>
  <si>
    <t>O00471</t>
  </si>
  <si>
    <t>O00472</t>
  </si>
  <si>
    <t>O00473</t>
  </si>
  <si>
    <t>O00474</t>
  </si>
  <si>
    <t>O00475</t>
  </si>
  <si>
    <t>O00476</t>
  </si>
  <si>
    <t>O00477</t>
  </si>
  <si>
    <t>O00478</t>
  </si>
  <si>
    <t>O00479</t>
  </si>
  <si>
    <t>O00480</t>
  </si>
  <si>
    <t>O00481</t>
  </si>
  <si>
    <t>O00482</t>
  </si>
  <si>
    <t>O00483</t>
  </si>
  <si>
    <t>O00484</t>
  </si>
  <si>
    <t>O00485</t>
  </si>
  <si>
    <t>O00486</t>
  </si>
  <si>
    <t>O00487</t>
  </si>
  <si>
    <t>O00488</t>
  </si>
  <si>
    <t>O00489</t>
  </si>
  <si>
    <t>O00490</t>
  </si>
  <si>
    <t>O00491</t>
  </si>
  <si>
    <t>O00492</t>
  </si>
  <si>
    <t>O00493</t>
  </si>
  <si>
    <t>O00494</t>
  </si>
  <si>
    <t>O00495</t>
  </si>
  <si>
    <t>O00496</t>
  </si>
  <si>
    <t>O00497</t>
  </si>
  <si>
    <t>O00498</t>
  </si>
  <si>
    <t>O00499</t>
  </si>
  <si>
    <t>O00500</t>
  </si>
  <si>
    <t>O00501</t>
  </si>
  <si>
    <t>O00502</t>
  </si>
  <si>
    <t>O00503</t>
  </si>
  <si>
    <t>O00504</t>
  </si>
  <si>
    <t>O00505</t>
  </si>
  <si>
    <t>O00506</t>
  </si>
  <si>
    <t>O00507</t>
  </si>
  <si>
    <t>O00508</t>
  </si>
  <si>
    <t>O00509</t>
  </si>
  <si>
    <t>O00510</t>
  </si>
  <si>
    <t>O00511</t>
  </si>
  <si>
    <t>O00512</t>
  </si>
  <si>
    <t>O00513</t>
  </si>
  <si>
    <t>O00514</t>
  </si>
  <si>
    <t>O00515</t>
  </si>
  <si>
    <t>O00516</t>
  </si>
  <si>
    <t>O00517</t>
  </si>
  <si>
    <t>O00518</t>
  </si>
  <si>
    <t>O00519</t>
  </si>
  <si>
    <t>O00520</t>
  </si>
  <si>
    <t>O00521</t>
  </si>
  <si>
    <t>O00522</t>
  </si>
  <si>
    <t>O00523</t>
  </si>
  <si>
    <t>O00524</t>
  </si>
  <si>
    <t>O00525</t>
  </si>
  <si>
    <t>O00526</t>
  </si>
  <si>
    <t>O00527</t>
  </si>
  <si>
    <t>O00528</t>
  </si>
  <si>
    <t>O00529</t>
  </si>
  <si>
    <t>O00530</t>
  </si>
  <si>
    <t>O00531</t>
  </si>
  <si>
    <t>O00532</t>
  </si>
  <si>
    <t>O00533</t>
  </si>
  <si>
    <t>O00534</t>
  </si>
  <si>
    <t>O00535</t>
  </si>
  <si>
    <t>O00536</t>
  </si>
  <si>
    <t>O00537</t>
  </si>
  <si>
    <t>O00538</t>
  </si>
  <si>
    <t>O00539</t>
  </si>
  <si>
    <t>O00540</t>
  </si>
  <si>
    <t>O00541</t>
  </si>
  <si>
    <t>O00542</t>
  </si>
  <si>
    <t>O00543</t>
  </si>
  <si>
    <t>O00544</t>
  </si>
  <si>
    <t>O00545</t>
  </si>
  <si>
    <t>O00546</t>
  </si>
  <si>
    <t>O00547</t>
  </si>
  <si>
    <t>O00548</t>
  </si>
  <si>
    <t>O00549</t>
  </si>
  <si>
    <t>O00550</t>
  </si>
  <si>
    <t>O00551</t>
  </si>
  <si>
    <t>O00552</t>
  </si>
  <si>
    <t>O00553</t>
  </si>
  <si>
    <t>O00554</t>
  </si>
  <si>
    <t>O00555</t>
  </si>
  <si>
    <t>O00556</t>
  </si>
  <si>
    <t>O00557</t>
  </si>
  <si>
    <t>O00558</t>
  </si>
  <si>
    <t>O00559</t>
  </si>
  <si>
    <t>O00560</t>
  </si>
  <si>
    <t>O00561</t>
  </si>
  <si>
    <t>O00562</t>
  </si>
  <si>
    <t>O00563</t>
  </si>
  <si>
    <t>O00564</t>
  </si>
  <si>
    <t>O00565</t>
  </si>
  <si>
    <t>O00566</t>
  </si>
  <si>
    <t>O00567</t>
  </si>
  <si>
    <t>O00568</t>
  </si>
  <si>
    <t>O00569</t>
  </si>
  <si>
    <t>O00570</t>
  </si>
  <si>
    <t>O00571</t>
  </si>
  <si>
    <t>O00572</t>
  </si>
  <si>
    <t>O00573</t>
  </si>
  <si>
    <t>O00574</t>
  </si>
  <si>
    <t>O00575</t>
  </si>
  <si>
    <t>O00576</t>
  </si>
  <si>
    <t>O00577</t>
  </si>
  <si>
    <t>O00578</t>
  </si>
  <si>
    <t>O00579</t>
  </si>
  <si>
    <t>O00580</t>
  </si>
  <si>
    <t>O00581</t>
  </si>
  <si>
    <t>O00582</t>
  </si>
  <si>
    <t>O00583</t>
  </si>
  <si>
    <t>O00584</t>
  </si>
  <si>
    <t>O00585</t>
  </si>
  <si>
    <t>O00586</t>
  </si>
  <si>
    <t>O00587</t>
  </si>
  <si>
    <t>O00588</t>
  </si>
  <si>
    <t>O00589</t>
  </si>
  <si>
    <t>O00590</t>
  </si>
  <si>
    <t>O00591</t>
  </si>
  <si>
    <t>O00592</t>
  </si>
  <si>
    <t>O00593</t>
  </si>
  <si>
    <t>O00594</t>
  </si>
  <si>
    <t>O00595</t>
  </si>
  <si>
    <t>O00596</t>
  </si>
  <si>
    <t>O00597</t>
  </si>
  <si>
    <t>O00598</t>
  </si>
  <si>
    <t>O00599</t>
  </si>
  <si>
    <t>O00600</t>
  </si>
  <si>
    <t>O00601</t>
  </si>
  <si>
    <t>O00602</t>
  </si>
  <si>
    <t>O00603</t>
  </si>
  <si>
    <t>O00604</t>
  </si>
  <si>
    <t>O00605</t>
  </si>
  <si>
    <t>O00606</t>
  </si>
  <si>
    <t>O00607</t>
  </si>
  <si>
    <t>O00608</t>
  </si>
  <si>
    <t>O00609</t>
  </si>
  <si>
    <t>O00610</t>
  </si>
  <si>
    <t>O00611</t>
  </si>
  <si>
    <t>O00612</t>
  </si>
  <si>
    <t>O00613</t>
  </si>
  <si>
    <t>O00614</t>
  </si>
  <si>
    <t>O00615</t>
  </si>
  <si>
    <t>O00616</t>
  </si>
  <si>
    <t>O00617</t>
  </si>
  <si>
    <t>O00618</t>
  </si>
  <si>
    <t>O00619</t>
  </si>
  <si>
    <t>O00620</t>
  </si>
  <si>
    <t>O00621</t>
  </si>
  <si>
    <t>O00622</t>
  </si>
  <si>
    <t>O00623</t>
  </si>
  <si>
    <t>O00624</t>
  </si>
  <si>
    <t>O00625</t>
  </si>
  <si>
    <t>O00626</t>
  </si>
  <si>
    <t>O00627</t>
  </si>
  <si>
    <t>O00628</t>
  </si>
  <si>
    <t>O00629</t>
  </si>
  <si>
    <t>O00630</t>
  </si>
  <si>
    <t>O00631</t>
  </si>
  <si>
    <t>O00632</t>
  </si>
  <si>
    <t>O00633</t>
  </si>
  <si>
    <t>O00634</t>
  </si>
  <si>
    <t>O00635</t>
  </si>
  <si>
    <t>O00636</t>
  </si>
  <si>
    <t>O00637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</si>
  <si>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</si>
  <si>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</si>
  <si>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</si>
  <si>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</si>
  <si>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</si>
  <si>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</si>
  <si>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</si>
  <si>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</si>
  <si>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</si>
  <si>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</si>
  <si>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</si>
  <si>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</si>
  <si>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</si>
  <si>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</si>
  <si>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</si>
  <si>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</si>
  <si>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</si>
  <si>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</si>
  <si>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</si>
  <si>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</si>
  <si>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</si>
  <si>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</si>
  <si>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</si>
  <si>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</si>
  <si>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</si>
  <si>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</si>
  <si>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</si>
  <si>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</si>
  <si>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</si>
  <si>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</si>
  <si>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</si>
  <si>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</si>
  <si>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</si>
  <si>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O00671</t>
  </si>
  <si>
    <t>O00672</t>
  </si>
  <si>
    <t>O00673</t>
  </si>
  <si>
    <t>O00674</t>
  </si>
  <si>
    <t>O00675</t>
  </si>
  <si>
    <t>O00676</t>
  </si>
  <si>
    <t>O00677</t>
  </si>
  <si>
    <t>O00678</t>
  </si>
  <si>
    <t>O00679</t>
  </si>
  <si>
    <t>O00680</t>
  </si>
  <si>
    <t>O00681</t>
  </si>
  <si>
    <t>O00682</t>
  </si>
  <si>
    <t>O00683</t>
  </si>
  <si>
    <t>O00684</t>
  </si>
  <si>
    <t>O00685</t>
  </si>
  <si>
    <t>O00686</t>
  </si>
  <si>
    <t>O00687</t>
  </si>
  <si>
    <t>O00688</t>
  </si>
  <si>
    <t>O00689</t>
  </si>
  <si>
    <t>O00690</t>
  </si>
  <si>
    <t>O00691</t>
  </si>
  <si>
    <t>O00692</t>
  </si>
  <si>
    <t>O00693</t>
  </si>
  <si>
    <t>O00694</t>
  </si>
  <si>
    <t>O00695</t>
  </si>
  <si>
    <t>O00696</t>
  </si>
  <si>
    <t>O00697</t>
  </si>
  <si>
    <t>O00698</t>
  </si>
  <si>
    <t>O00699</t>
  </si>
  <si>
    <t>O00700</t>
  </si>
  <si>
    <t>O00701</t>
  </si>
  <si>
    <t>O00702</t>
  </si>
  <si>
    <t>O00703</t>
  </si>
  <si>
    <t>O00704</t>
  </si>
  <si>
    <t>O00705</t>
  </si>
  <si>
    <t>O00706</t>
  </si>
  <si>
    <t>O00707</t>
  </si>
  <si>
    <t>O00708</t>
  </si>
  <si>
    <t>O00709</t>
  </si>
  <si>
    <t>O00710</t>
  </si>
  <si>
    <t>O00711</t>
  </si>
  <si>
    <t>O00712</t>
  </si>
  <si>
    <t>O00713</t>
  </si>
  <si>
    <t>O00714</t>
  </si>
  <si>
    <t>O00715</t>
  </si>
  <si>
    <t>O00716</t>
  </si>
  <si>
    <t>O00717</t>
  </si>
  <si>
    <t>O00718</t>
  </si>
  <si>
    <t>O00719</t>
  </si>
  <si>
    <t>O00720</t>
  </si>
  <si>
    <t>O00721</t>
  </si>
  <si>
    <t>O00722</t>
  </si>
  <si>
    <t>O00723</t>
  </si>
  <si>
    <t>O00724</t>
  </si>
  <si>
    <t>O00725</t>
  </si>
  <si>
    <t>O00726</t>
  </si>
  <si>
    <t>O00727</t>
  </si>
  <si>
    <t>O00728</t>
  </si>
  <si>
    <t>O00729</t>
  </si>
  <si>
    <t>O00730</t>
  </si>
  <si>
    <t>O00731</t>
  </si>
  <si>
    <t>O00732</t>
  </si>
  <si>
    <t>O00733</t>
  </si>
  <si>
    <t>O00734</t>
  </si>
  <si>
    <t>O00735</t>
  </si>
  <si>
    <t>O00736</t>
  </si>
  <si>
    <t>O00737</t>
  </si>
  <si>
    <t>O00738</t>
  </si>
  <si>
    <t>O00739</t>
  </si>
  <si>
    <t>O00740</t>
  </si>
  <si>
    <t>O00741</t>
  </si>
  <si>
    <t>O00742</t>
  </si>
  <si>
    <t>O00743</t>
  </si>
  <si>
    <t>O00744</t>
  </si>
  <si>
    <t>O00745</t>
  </si>
  <si>
    <t>O00746</t>
  </si>
  <si>
    <t>O00747</t>
  </si>
  <si>
    <t>O00748</t>
  </si>
  <si>
    <t>O00749</t>
  </si>
  <si>
    <t>O00750</t>
  </si>
  <si>
    <t>O00751</t>
  </si>
  <si>
    <t>O00752</t>
  </si>
  <si>
    <t>O00753</t>
  </si>
  <si>
    <t>O00754</t>
  </si>
  <si>
    <t>O00755</t>
  </si>
  <si>
    <t>O00756</t>
  </si>
  <si>
    <t>O00757</t>
  </si>
  <si>
    <t>O00758</t>
  </si>
  <si>
    <t>O00759</t>
  </si>
  <si>
    <t>O00760</t>
  </si>
  <si>
    <t>O00761</t>
  </si>
  <si>
    <t>O00762</t>
  </si>
  <si>
    <t>O00763</t>
  </si>
  <si>
    <t>O00764</t>
  </si>
  <si>
    <t>O00765</t>
  </si>
  <si>
    <t>O00766</t>
  </si>
  <si>
    <t>O00767</t>
  </si>
  <si>
    <t>O00768</t>
  </si>
  <si>
    <t>O00769</t>
  </si>
  <si>
    <t>O00770</t>
  </si>
  <si>
    <t>O00771</t>
  </si>
  <si>
    <t>O00772</t>
  </si>
  <si>
    <t>O00773</t>
  </si>
  <si>
    <t>O00774</t>
  </si>
  <si>
    <t>O00775</t>
  </si>
  <si>
    <t>O00776</t>
  </si>
  <si>
    <t>O00777</t>
  </si>
  <si>
    <t>O00778</t>
  </si>
  <si>
    <t>O00779</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</si>
  <si>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</si>
  <si>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</si>
  <si>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</si>
  <si>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</si>
  <si>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</si>
  <si>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</si>
  <si>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</si>
  <si>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</si>
  <si>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</si>
  <si>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</si>
  <si>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</si>
  <si>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</si>
  <si>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</si>
  <si>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</si>
  <si>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</si>
  <si>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</si>
  <si>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</si>
  <si>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</si>
  <si>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</si>
  <si>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O00799</t>
  </si>
  <si>
    <t>O00800</t>
  </si>
  <si>
    <t>O00801</t>
  </si>
  <si>
    <t>O00802</t>
  </si>
  <si>
    <t>O00803</t>
  </si>
  <si>
    <t>O00804</t>
  </si>
  <si>
    <t>O00805</t>
  </si>
  <si>
    <t>O00806</t>
  </si>
  <si>
    <t>O00807</t>
  </si>
  <si>
    <t>O00808</t>
  </si>
  <si>
    <t>O00809</t>
  </si>
  <si>
    <t>O00810</t>
  </si>
  <si>
    <t>O00811</t>
  </si>
  <si>
    <t>O00812</t>
  </si>
  <si>
    <t>O00813</t>
  </si>
  <si>
    <t>O00814</t>
  </si>
  <si>
    <t>O00815</t>
  </si>
  <si>
    <t>O00816</t>
  </si>
  <si>
    <t>O00817</t>
  </si>
  <si>
    <t>O00818</t>
  </si>
  <si>
    <t>O00819</t>
  </si>
  <si>
    <t>O00820</t>
  </si>
  <si>
    <t>O00821</t>
  </si>
  <si>
    <t>O00822</t>
  </si>
  <si>
    <t>O00823</t>
  </si>
  <si>
    <t>O00824</t>
  </si>
  <si>
    <t>O00825</t>
  </si>
  <si>
    <t>O00826</t>
  </si>
  <si>
    <t>O00827</t>
  </si>
  <si>
    <t>O00828</t>
  </si>
  <si>
    <t>O00829</t>
  </si>
  <si>
    <t>O00830</t>
  </si>
  <si>
    <t>O00831</t>
  </si>
  <si>
    <t>O00832</t>
  </si>
  <si>
    <t>O00833</t>
  </si>
  <si>
    <t>O00834</t>
  </si>
  <si>
    <t>O00835</t>
  </si>
  <si>
    <t>O00836</t>
  </si>
  <si>
    <t>O00837</t>
  </si>
  <si>
    <t>O00838</t>
  </si>
  <si>
    <t>O00839</t>
  </si>
  <si>
    <t>O00840</t>
  </si>
  <si>
    <t>O00841</t>
  </si>
  <si>
    <t>O00842</t>
  </si>
  <si>
    <t>O00843</t>
  </si>
  <si>
    <t>O00844</t>
  </si>
  <si>
    <t>O00845</t>
  </si>
  <si>
    <t>O00846</t>
  </si>
  <si>
    <t>O00847</t>
  </si>
  <si>
    <t>O00848</t>
  </si>
  <si>
    <t>O00849</t>
  </si>
  <si>
    <t>O00850</t>
  </si>
  <si>
    <t>O00851</t>
  </si>
  <si>
    <t>O00852</t>
  </si>
  <si>
    <t>O00853</t>
  </si>
  <si>
    <t>O00854</t>
  </si>
  <si>
    <t>O00855</t>
  </si>
  <si>
    <t>O00856</t>
  </si>
  <si>
    <t>O00857</t>
  </si>
  <si>
    <t>O00858</t>
  </si>
  <si>
    <t>O00859</t>
  </si>
  <si>
    <t>O00860</t>
  </si>
  <si>
    <t>O00861</t>
  </si>
  <si>
    <t>O00862</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</si>
  <si>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</si>
  <si>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</si>
  <si>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</si>
  <si>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</si>
  <si>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</si>
  <si>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</si>
  <si>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</si>
  <si>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</si>
  <si>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</si>
  <si>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</si>
  <si>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</si>
  <si>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</si>
  <si>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</si>
  <si>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</si>
  <si>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</si>
  <si>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</si>
  <si>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</si>
  <si>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</si>
  <si>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</si>
  <si>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</si>
  <si>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</si>
  <si>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</si>
  <si>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</si>
  <si>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</si>
  <si>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</si>
  <si>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</si>
  <si>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</si>
  <si>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</si>
  <si>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</si>
  <si>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</si>
  <si>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</si>
  <si>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</si>
  <si>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</si>
  <si>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</si>
  <si>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</si>
  <si>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</si>
  <si>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</si>
  <si>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</si>
  <si>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</si>
  <si>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</si>
  <si>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</si>
  <si>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</si>
  <si>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</si>
  <si>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</si>
  <si>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</si>
  <si>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</si>
  <si>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</si>
  <si>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</si>
  <si>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</si>
  <si>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</si>
  <si>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</si>
  <si>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</si>
  <si>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</si>
  <si>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</si>
  <si>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</si>
  <si>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</si>
  <si>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</si>
  <si>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</si>
  <si>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</si>
  <si>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</si>
  <si>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</si>
  <si>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</si>
  <si>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</si>
  <si>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</si>
  <si>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</si>
  <si>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</si>
  <si>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</si>
  <si>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</si>
  <si>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</si>
  <si>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</si>
  <si>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</si>
  <si>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</si>
  <si>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</si>
  <si>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</si>
  <si>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</si>
  <si>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</si>
  <si>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</si>
  <si>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</si>
  <si>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</si>
  <si>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</si>
  <si>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O00943</t>
  </si>
  <si>
    <t>O00944</t>
  </si>
  <si>
    <t>O00945</t>
  </si>
  <si>
    <t>O00946</t>
  </si>
  <si>
    <t>O00947</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</si>
  <si>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</si>
  <si>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</si>
  <si>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</si>
  <si>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</si>
  <si>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</si>
  <si>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</si>
  <si>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</si>
  <si>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</si>
  <si>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</si>
  <si>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</si>
  <si>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</si>
  <si>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</si>
  <si>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</si>
  <si>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</si>
  <si>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</si>
  <si>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</si>
  <si>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</si>
  <si>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</si>
  <si>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</si>
  <si>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</si>
  <si>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</si>
  <si>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</si>
  <si>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</si>
  <si>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</si>
  <si>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</si>
  <si>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</si>
  <si>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</si>
  <si>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</si>
  <si>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</si>
  <si>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</si>
  <si>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</si>
  <si>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</si>
  <si>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</si>
  <si>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</si>
  <si>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</si>
  <si>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</si>
  <si>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</si>
  <si>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</si>
  <si>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</si>
  <si>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</si>
  <si>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</si>
  <si>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</si>
  <si>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</si>
  <si>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</si>
  <si>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</si>
  <si>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</si>
  <si>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</si>
  <si>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</si>
  <si>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</si>
  <si>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</si>
  <si>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</si>
  <si>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</si>
  <si>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O01000</t>
  </si>
  <si>
    <t>Customer_Name</t>
  </si>
  <si>
    <t>Region</t>
  </si>
  <si>
    <t>Segment</t>
  </si>
  <si>
    <t>Signup_Date</t>
  </si>
  <si>
    <t>Customer_1</t>
  </si>
  <si>
    <t>South</t>
  </si>
  <si>
    <t>SME</t>
  </si>
  <si>
    <t>Customer_2</t>
  </si>
  <si>
    <t>North</t>
  </si>
  <si>
    <t>Corporate</t>
  </si>
  <si>
    <t>Customer_3</t>
  </si>
  <si>
    <t>Customer_4</t>
  </si>
  <si>
    <t>Individual</t>
  </si>
  <si>
    <t>Customer_5</t>
  </si>
  <si>
    <t>East</t>
  </si>
  <si>
    <t>Customer_6</t>
  </si>
  <si>
    <t>Customer_7</t>
  </si>
  <si>
    <t>Customer_8</t>
  </si>
  <si>
    <t>Customer_9</t>
  </si>
  <si>
    <t>Customer_10</t>
  </si>
  <si>
    <t>West</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</si>
  <si>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</si>
  <si>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</si>
  <si>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</si>
  <si>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</si>
  <si>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</si>
  <si>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</si>
  <si>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</si>
  <si>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</si>
  <si>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</si>
  <si>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</si>
  <si>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</si>
  <si>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</si>
  <si>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</si>
  <si>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</si>
  <si>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</si>
  <si>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</si>
  <si>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</si>
  <si>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</si>
  <si>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</si>
  <si>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</si>
  <si>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</si>
  <si>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</si>
  <si>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</si>
  <si>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</si>
  <si>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</si>
  <si>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</si>
  <si>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</si>
  <si>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</si>
  <si>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</si>
  <si>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</si>
  <si>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</si>
  <si>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</si>
  <si>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</si>
  <si>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</si>
  <si>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</si>
  <si>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</si>
  <si>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</si>
  <si>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</si>
  <si>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</si>
  <si>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</si>
  <si>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</si>
  <si>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</si>
  <si>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</si>
  <si>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</si>
  <si>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</si>
  <si>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</si>
  <si>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</si>
  <si>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</si>
  <si>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</si>
  <si>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</si>
  <si>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</si>
  <si>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</si>
  <si>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</si>
  <si>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</si>
  <si>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</si>
  <si>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</si>
  <si>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</si>
  <si>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</si>
  <si>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</si>
  <si>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</si>
  <si>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</si>
  <si>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</si>
  <si>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</si>
  <si>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</si>
  <si>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</si>
  <si>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</si>
  <si>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</si>
  <si>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</si>
  <si>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</si>
  <si>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</si>
  <si>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</si>
  <si>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</si>
  <si>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</si>
  <si>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</si>
  <si>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</si>
  <si>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</si>
  <si>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</si>
  <si>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</si>
  <si>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</si>
  <si>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</si>
  <si>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</si>
  <si>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</si>
  <si>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</si>
  <si>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</si>
  <si>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</si>
  <si>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</si>
  <si>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</si>
  <si>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</si>
  <si>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</si>
  <si>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</si>
  <si>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Product_Name</t>
  </si>
  <si>
    <t>Category</t>
  </si>
  <si>
    <t>Unit_Price</t>
  </si>
  <si>
    <t>Cost_Price</t>
  </si>
  <si>
    <t>Product_1</t>
  </si>
  <si>
    <t>Home Appliances</t>
  </si>
  <si>
    <t>Product_2</t>
  </si>
  <si>
    <t>Accessories</t>
  </si>
  <si>
    <t>Product_3</t>
  </si>
  <si>
    <t>Electronics</t>
  </si>
  <si>
    <t>Product_4</t>
  </si>
  <si>
    <t>Product_5</t>
  </si>
  <si>
    <t>Office Supplies</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</si>
  <si>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</si>
  <si>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</si>
  <si>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</si>
  <si>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</si>
  <si>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</si>
  <si>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</si>
  <si>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</si>
  <si>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</si>
  <si>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</si>
  <si>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</si>
  <si>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</si>
  <si>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</si>
  <si>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</si>
  <si>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</si>
  <si>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</si>
  <si>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</si>
  <si>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</si>
  <si>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</si>
  <si>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</si>
  <si>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</si>
  <si>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</si>
  <si>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</si>
  <si>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</si>
  <si>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</si>
  <si>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</si>
  <si>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Milestone</t>
  </si>
  <si>
    <t>Task_Description</t>
  </si>
  <si>
    <t>Skill_Focus</t>
  </si>
  <si>
    <t>Completion_Status</t>
  </si>
  <si>
    <t>Milestone 1: Data Cleaning</t>
  </si>
  <si>
    <t>Convert all data ranges into Excel Tables. Check for duplicates and missing values.</t>
  </si>
  <si>
    <t>Data Cleaning, Tables, Conditional Formatting</t>
  </si>
  <si>
    <t>Pending</t>
  </si>
  <si>
    <t>Milestone 2: Data Modeling</t>
  </si>
  <si>
    <t>Create relationships between Sales_Data, Customers, and Products using Power Pivot.</t>
  </si>
  <si>
    <t>Data Modeling, Relationships, Data Model</t>
  </si>
  <si>
    <t>Milestone 3: Calculations</t>
  </si>
  <si>
    <t>Create calculated columns: Revenue, Total Cost, Profit, Profit Margin.</t>
  </si>
  <si>
    <t>Formulas (XLOOKUP, SUMIFS, IF, Calculated Columns)</t>
  </si>
  <si>
    <t>Milestone 4: Pivot Analysis</t>
  </si>
  <si>
    <t>Build PivotTables analyzing Revenue by Region, Category, and Segment.</t>
  </si>
  <si>
    <t>PivotTables, Slicers, Pivot Charts</t>
  </si>
  <si>
    <t>Milestone 5: Dashboard</t>
  </si>
  <si>
    <t>Create an interactive dashboard with KPIs: Total Revenue, Total Profit, Avg Order Value.</t>
  </si>
  <si>
    <t>Dashboard Design, KPI Cards, Charts</t>
  </si>
  <si>
    <t>Milestone 6: Advanced Analytics</t>
  </si>
  <si>
    <t>Perform trend analysis (monthly growth), cohort analysis, and what-if analysis.</t>
  </si>
  <si>
    <t>Power Query, Forecast Sheet, What-If Analysis</t>
  </si>
  <si>
    <t>Milestone 7: Automation</t>
  </si>
  <si>
    <t>Record a macro to refresh all PivotTables and clean data automatically.</t>
  </si>
  <si>
    <t>Macros, VBA Basics</t>
  </si>
  <si>
    <t>;</t>
  </si>
  <si>
    <t>Revenue</t>
  </si>
  <si>
    <t>COST</t>
  </si>
  <si>
    <t>PROFIT</t>
  </si>
  <si>
    <t>MARGIN</t>
  </si>
  <si>
    <t>Grand Total</t>
  </si>
  <si>
    <t>Row Labels</t>
  </si>
  <si>
    <t>Sum of Revenue</t>
  </si>
  <si>
    <t>.</t>
  </si>
  <si>
    <t>SALES PERFORMANCE DASHBOARD</t>
  </si>
  <si>
    <t>TOTAL REVENUE</t>
  </si>
  <si>
    <t>TOTAL PROFIT</t>
  </si>
  <si>
    <t>Sum of PROFIT</t>
  </si>
  <si>
    <t>Average of Revenue</t>
  </si>
  <si>
    <t>Jan</t>
  </si>
  <si>
    <t>Feb</t>
  </si>
  <si>
    <t>Mar</t>
  </si>
  <si>
    <t>Apr</t>
  </si>
  <si>
    <t>May</t>
  </si>
  <si>
    <t>Jun</t>
  </si>
  <si>
    <t>Jul</t>
  </si>
  <si>
    <t>Aug</t>
  </si>
  <si>
    <t>Sep</t>
  </si>
  <si>
    <t>Oct</t>
  </si>
  <si>
    <t>Nov</t>
  </si>
  <si>
    <t>Dec</t>
  </si>
  <si>
    <t>AVG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</si>
</sst>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yyyy\-mm\-dd\ h:mm:ss"/>
    <numFmt numFmtId="165" formatCode="_-[$$-409]* #,##0.00_ ;_-[$$-409]* \-#,##0.00\ ;_-[$$-409]* &quot;-&quot;??_ ;_-@_ "/>
  </numFmts>
  <fonts count="5" x14ac:knownFonts="1">
    <font>
      <sz val="11"/>
      <color theme="1"/>
      <name val="Calibri"/>
      <family val="2"/>
      <scheme val="minor"/>
    </font>
    <font>
      <b/>
      <sz val="11"/>
      <name val="Calibri"/>
    </font>
    <font>
      <sz val="11"/>
      <color theme="1"/>
      <name val="Calibri"/>
      <family val="2"/>
      <scheme val="minor"/>
    </font>
    <font>
      <sz val="24"/>
      <color theme="1"/>
      <name val="Calibri"/>
      <family val="2"/>
      <scheme val="minor"/>
    </font>
    <font>
      <sz val="36"/>
      <color theme="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0" fontId="1" fillId="0" borderId="0" xfId="0" applyFont="1"/>
    <xf numFmtId="164" fontId="0" fillId="0" borderId="0" xfId="0" applyNumberForma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5" fontId="3" fillId="0" borderId="0" xfId="1" applyNumberFormat="1" applyFont="1"/>
    <xf numFmtId="0" fontId="4" fillId="2" borderId="0" xfId="0" applyFont="1" applyFill="1" applyAlignment="1">
      <alignment horizontal="center"/>
    </xf>
    <xf numFmtId="0" fontId="0" fillId="2" borderId="0" xfId="0" applyFill="1" applyAlignment="1">
      <alignment horizontal="center"/>
    </xf>
  </cellXfs>
  <cellStyles count="2">
    <cellStyle name="Currency" xfId="1" builtinId="4"/>
    <cellStyle name="Normal" xfId="0" builtinId="0"/>
  </cellStyles>
  <dxfs count="9">
    <dxf>
      <font>
        <b/>
        <i val="0"/>
        <strike val="0"/>
        <condense val="0"/>
        <extend val="0"/>
        <outline val="0"/>
        <shadow val="0"/>
        <u val="none"/>
        <vertAlign val="baseline"/>
        <sz val="11"/>
        <color auto="1"/>
        <name val="Calibri"/>
        <scheme val="none"/>
      </font>
    </dxf>
    <dxf>
      <numFmt numFmtId="164" formatCode="yyyy\-mm\-dd\ h:mm:ss"/>
    </dxf>
    <dxf>
      <font>
        <b/>
        <i val="0"/>
        <strike val="0"/>
        <condense val="0"/>
        <extend val="0"/>
        <outline val="0"/>
        <shadow val="0"/>
        <u val="none"/>
        <vertAlign val="baseline"/>
        <sz val="11"/>
        <color auto="1"/>
        <name val="Calibri"/>
        <scheme val="none"/>
      </font>
    </dxf>
    <dxf>
      <numFmt numFmtId="0" formatCode="General"/>
    </dxf>
    <dxf>
      <numFmt numFmtId="0" formatCode="General"/>
    </dxf>
    <dxf>
      <numFmt numFmtId="0" formatCode="General"/>
    </dxf>
    <dxf>
      <numFmt numFmtId="0" formatCode="General"/>
    </dxf>
    <dxf>
      <numFmt numFmtId="166" formatCode="m/d/yyyy"/>
    </dxf>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700745.01</c:v>
              </c:pt>
              <c:pt idx="1">
                <c:v>649759.02000000037</c:v>
              </c:pt>
              <c:pt idx="2">
                <c:v>759981.6800000004</c:v>
              </c:pt>
              <c:pt idx="3">
                <c:v>851302.50000000047</c:v>
              </c:pt>
            </c:numLit>
          </c:val>
          <c:extLst>
            <c:ext xmlns:c16="http://schemas.microsoft.com/office/drawing/2014/chart" uri="{C3380CC4-5D6E-409C-BE32-E72D297353CC}">
              <c16:uniqueId val="{00000000-A4C7-48AA-9A8B-914C66435044}"/>
            </c:ext>
          </c:extLst>
        </c:ser>
        <c:dLbls>
          <c:showLegendKey val="0"/>
          <c:showVal val="0"/>
          <c:showCatName val="0"/>
          <c:showSerName val="0"/>
          <c:showPercent val="0"/>
          <c:showBubbleSize val="0"/>
        </c:dLbls>
        <c:gapWidth val="219"/>
        <c:overlap val="-27"/>
        <c:axId val="1937397472"/>
        <c:axId val="1937393152"/>
      </c:barChart>
      <c:catAx>
        <c:axId val="193739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93152"/>
        <c:crosses val="autoZero"/>
        <c:auto val="1"/>
        <c:lblAlgn val="ctr"/>
        <c:lblOffset val="100"/>
        <c:noMultiLvlLbl val="0"/>
        <c:extLst/>
      </c:catAx>
      <c:valAx>
        <c:axId val="193739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97472"/>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Accessories</c:v>
              </c:pt>
              <c:pt idx="1">
                <c:v>Electronics</c:v>
              </c:pt>
              <c:pt idx="2">
                <c:v>Home Appliances</c:v>
              </c:pt>
              <c:pt idx="3">
                <c:v>Office Supplies</c:v>
              </c:pt>
            </c:strLit>
          </c:cat>
          <c:val>
            <c:numLit>
              <c:formatCode>General</c:formatCode>
              <c:ptCount val="4"/>
              <c:pt idx="0">
                <c:v>456904.07000000018</c:v>
              </c:pt>
              <c:pt idx="1">
                <c:v>238540.18</c:v>
              </c:pt>
              <c:pt idx="2">
                <c:v>1245170.4900000007</c:v>
              </c:pt>
              <c:pt idx="3">
                <c:v>1021173.4700000002</c:v>
              </c:pt>
            </c:numLit>
          </c:val>
          <c:extLst>
            <c:ext xmlns:c16="http://schemas.microsoft.com/office/drawing/2014/chart" uri="{C3380CC4-5D6E-409C-BE32-E72D297353CC}">
              <c16:uniqueId val="{00000000-470C-4B1F-9EA9-D4821A9230F4}"/>
            </c:ext>
          </c:extLst>
        </c:ser>
        <c:dLbls>
          <c:showLegendKey val="0"/>
          <c:showVal val="0"/>
          <c:showCatName val="0"/>
          <c:showSerName val="0"/>
          <c:showPercent val="0"/>
          <c:showBubbleSize val="0"/>
        </c:dLbls>
        <c:gapWidth val="219"/>
        <c:overlap val="-27"/>
        <c:axId val="2049271120"/>
        <c:axId val="2049273040"/>
      </c:barChart>
      <c:catAx>
        <c:axId val="204927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73040"/>
        <c:crosses val="autoZero"/>
        <c:auto val="1"/>
        <c:lblAlgn val="ctr"/>
        <c:lblOffset val="100"/>
        <c:noMultiLvlLbl val="0"/>
        <c:extLst/>
      </c:catAx>
      <c:valAx>
        <c:axId val="204927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71120"/>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Corporate</c:v>
              </c:pt>
              <c:pt idx="1">
                <c:v>Individual</c:v>
              </c:pt>
              <c:pt idx="2">
                <c:v>SME</c:v>
              </c:pt>
            </c:strLit>
          </c:cat>
          <c:val>
            <c:numLit>
              <c:formatCode>General</c:formatCode>
              <c:ptCount val="3"/>
              <c:pt idx="0">
                <c:v>865413.88000000059</c:v>
              </c:pt>
              <c:pt idx="1">
                <c:v>931591.33000000066</c:v>
              </c:pt>
              <c:pt idx="2">
                <c:v>1164782.9999999995</c:v>
              </c:pt>
            </c:numLit>
          </c:val>
          <c:extLst>
            <c:ext xmlns:c16="http://schemas.microsoft.com/office/drawing/2014/chart" uri="{C3380CC4-5D6E-409C-BE32-E72D297353CC}">
              <c16:uniqueId val="{00000000-53D8-44E1-ABCB-5C8E1CBDB419}"/>
            </c:ext>
          </c:extLst>
        </c:ser>
        <c:dLbls>
          <c:showLegendKey val="0"/>
          <c:showVal val="0"/>
          <c:showCatName val="0"/>
          <c:showSerName val="0"/>
          <c:showPercent val="0"/>
          <c:showBubbleSize val="0"/>
        </c:dLbls>
        <c:gapWidth val="219"/>
        <c:overlap val="-27"/>
        <c:axId val="2048228880"/>
        <c:axId val="2048229360"/>
      </c:barChart>
      <c:catAx>
        <c:axId val="20482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229360"/>
        <c:crosses val="autoZero"/>
        <c:auto val="1"/>
        <c:lblAlgn val="ctr"/>
        <c:lblOffset val="100"/>
        <c:noMultiLvlLbl val="0"/>
        <c:extLst/>
      </c:catAx>
      <c:valAx>
        <c:axId val="204822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228880"/>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[Advanced_Excel_Data_Analyst_Practice (version 3).xlsx]Sheet4!PivotTable3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Sheet4!$B$20</c:f>
              <c:strCache>
                <c:ptCount val="1"/>
                <c:pt idx="0">
                  <c:v>Total</c:v>
                </c:pt>
              </c:strCache>
            </c:strRef>
          </c:tx>
          <c:spPr>
            <a:solidFill>
              <a:schemeClr val="accent1"/>
            </a:solidFill>
            <a:ln>
              <a:noFill/>
            </a:ln>
            <a:effectLst/>
          </c:spPr>
          <c:cat>
            <c:multiLvlStrRef>
              <c:f>Sheet4!$A$21:$A$129</c:f>
              <c:multiLvlStrCache>
                <c:ptCount val="96"/>
                <c:lvl>
                  <c:pt idx="0">
                    <c:v>09/01/2022</c:v>
                  </c:pt>
                  <c:pt idx="1">
                    <c:v>11/01/2022</c:v>
                  </c:pt>
                  <c:pt idx="2">
                    <c:v>01/01/2023</c:v>
                  </c:pt>
                  <c:pt idx="3">
                    <c:v>18/01/2023</c:v>
                  </c:pt>
                  <c:pt idx="4">
                    <c:v>26/01/2023</c:v>
                  </c:pt>
                  <c:pt idx="5">
                    <c:v>06/01/2024</c:v>
                  </c:pt>
                  <c:pt idx="6">
                    <c:v>08/01/2024</c:v>
                  </c:pt>
                  <c:pt idx="7">
                    <c:v>13/01/2024</c:v>
                  </c:pt>
                  <c:pt idx="8">
                    <c:v>15/01/2024</c:v>
                  </c:pt>
                  <c:pt idx="9">
                    <c:v>18/01/2024</c:v>
                  </c:pt>
                  <c:pt idx="10">
                    <c:v>22/01/2024</c:v>
                  </c:pt>
                  <c:pt idx="11">
                    <c:v>23/01/2024</c:v>
                  </c:pt>
                  <c:pt idx="12">
                    <c:v>30/01/2024</c:v>
                  </c:pt>
                  <c:pt idx="13">
                    <c:v>02/02/2022</c:v>
                  </c:pt>
                  <c:pt idx="14">
                    <c:v>18/02/2022</c:v>
                  </c:pt>
                  <c:pt idx="15">
                    <c:v>25/02/2022</c:v>
                  </c:pt>
                  <c:pt idx="16">
                    <c:v>10/02/2023</c:v>
                  </c:pt>
                  <c:pt idx="17">
                    <c:v>13/02/2023</c:v>
                  </c:pt>
                  <c:pt idx="18">
                    <c:v>02/02/2024</c:v>
                  </c:pt>
                  <c:pt idx="19">
                    <c:v>04/02/2024</c:v>
                  </c:pt>
                  <c:pt idx="20">
                    <c:v>19/02/2024</c:v>
                  </c:pt>
                  <c:pt idx="21">
                    <c:v>26/02/2024</c:v>
                  </c:pt>
                  <c:pt idx="22">
                    <c:v>14/03/2022</c:v>
                  </c:pt>
                  <c:pt idx="23">
                    <c:v>17/03/2022</c:v>
                  </c:pt>
                  <c:pt idx="24">
                    <c:v>19/03/2022</c:v>
                  </c:pt>
                  <c:pt idx="25">
                    <c:v>20/03/2022</c:v>
                  </c:pt>
                  <c:pt idx="26">
                    <c:v>31/03/2022</c:v>
                  </c:pt>
                  <c:pt idx="27">
                    <c:v>05/03/2023</c:v>
                  </c:pt>
                  <c:pt idx="28">
                    <c:v>09/03/2023</c:v>
                  </c:pt>
                  <c:pt idx="29">
                    <c:v>24/03/2023</c:v>
                  </c:pt>
                  <c:pt idx="30">
                    <c:v>03/03/2024</c:v>
                  </c:pt>
                  <c:pt idx="31">
                    <c:v>13/03/2024</c:v>
                  </c:pt>
                  <c:pt idx="32">
                    <c:v>20/03/2024</c:v>
                  </c:pt>
                  <c:pt idx="33">
                    <c:v>24/03/2024</c:v>
                  </c:pt>
                  <c:pt idx="34">
                    <c:v>25/04/2022</c:v>
                  </c:pt>
                  <c:pt idx="35">
                    <c:v>03/04/2023</c:v>
                  </c:pt>
                  <c:pt idx="36">
                    <c:v>11/04/2023</c:v>
                  </c:pt>
                  <c:pt idx="37">
                    <c:v>15/04/2023</c:v>
                  </c:pt>
                  <c:pt idx="38">
                    <c:v>30/04/2023</c:v>
                  </c:pt>
                  <c:pt idx="39">
                    <c:v>21/04/2024</c:v>
                  </c:pt>
                  <c:pt idx="40">
                    <c:v>23/04/2024</c:v>
                  </c:pt>
                  <c:pt idx="41">
                    <c:v>25/04/2024</c:v>
                  </c:pt>
                  <c:pt idx="42">
                    <c:v>27/04/2024</c:v>
                  </c:pt>
                  <c:pt idx="43">
                    <c:v>11/05/2022</c:v>
                  </c:pt>
                  <c:pt idx="44">
                    <c:v>17/05/2022</c:v>
                  </c:pt>
                  <c:pt idx="45">
                    <c:v>27/05/2022</c:v>
                  </c:pt>
                  <c:pt idx="46">
                    <c:v>28/05/2022</c:v>
                  </c:pt>
                  <c:pt idx="47">
                    <c:v>02/05/2023</c:v>
                  </c:pt>
                  <c:pt idx="48">
                    <c:v>09/05/2023</c:v>
                  </c:pt>
                  <c:pt idx="49">
                    <c:v>14/05/2023</c:v>
                  </c:pt>
                  <c:pt idx="50">
                    <c:v>26/05/2023</c:v>
                  </c:pt>
                  <c:pt idx="51">
                    <c:v>23/05/2024</c:v>
                  </c:pt>
                  <c:pt idx="52">
                    <c:v>28/05/2024</c:v>
                  </c:pt>
                  <c:pt idx="53">
                    <c:v>03/06/2022</c:v>
                  </c:pt>
                  <c:pt idx="54">
                    <c:v>07/06/2022</c:v>
                  </c:pt>
                  <c:pt idx="55">
                    <c:v>21/06/2022</c:v>
                  </c:pt>
                  <c:pt idx="56">
                    <c:v>19/06/2023</c:v>
                  </c:pt>
                  <c:pt idx="57">
                    <c:v>28/06/2024</c:v>
                  </c:pt>
                  <c:pt idx="58">
                    <c:v>26/07/2022</c:v>
                  </c:pt>
                  <c:pt idx="59">
                    <c:v>09/07/2023</c:v>
                  </c:pt>
                  <c:pt idx="60">
                    <c:v>15/07/2023</c:v>
                  </c:pt>
                  <c:pt idx="61">
                    <c:v>18/07/2023</c:v>
                  </c:pt>
                  <c:pt idx="62">
                    <c:v>21/07/2023</c:v>
                  </c:pt>
                  <c:pt idx="63">
                    <c:v>01/07/2024</c:v>
                  </c:pt>
                  <c:pt idx="64">
                    <c:v>05/08/2022</c:v>
                  </c:pt>
                  <c:pt idx="65">
                    <c:v>19/08/2022</c:v>
                  </c:pt>
                  <c:pt idx="66">
                    <c:v>24/08/2022</c:v>
                  </c:pt>
                  <c:pt idx="67">
                    <c:v>25/08/2022</c:v>
                  </c:pt>
                  <c:pt idx="68">
                    <c:v>13/08/2023</c:v>
                  </c:pt>
                  <c:pt idx="69">
                    <c:v>22/08/2024</c:v>
                  </c:pt>
                  <c:pt idx="70">
                    <c:v>24/08/2024</c:v>
                  </c:pt>
                  <c:pt idx="71">
                    <c:v>02/09/2022</c:v>
                  </c:pt>
                  <c:pt idx="72">
                    <c:v>05/09/2022</c:v>
                  </c:pt>
                  <c:pt idx="73">
                    <c:v>14/09/2022</c:v>
                  </c:pt>
                  <c:pt idx="74">
                    <c:v>29/09/2022</c:v>
                  </c:pt>
                  <c:pt idx="75">
                    <c:v>25/09/2023</c:v>
                  </c:pt>
                  <c:pt idx="76">
                    <c:v>11/09/2024</c:v>
                  </c:pt>
                  <c:pt idx="77">
                    <c:v>12/09/2024</c:v>
                  </c:pt>
                  <c:pt idx="78">
                    <c:v>01/10/2022</c:v>
                  </c:pt>
                  <c:pt idx="79">
                    <c:v>07/10/2022</c:v>
                  </c:pt>
                  <c:pt idx="80">
                    <c:v>14/10/2022</c:v>
                  </c:pt>
                  <c:pt idx="81">
                    <c:v>18/10/2022</c:v>
                  </c:pt>
                  <c:pt idx="82">
                    <c:v>26/10/2022</c:v>
                  </c:pt>
                  <c:pt idx="83">
                    <c:v>15/10/2023</c:v>
                  </c:pt>
                  <c:pt idx="84">
                    <c:v>02/11/2022</c:v>
                  </c:pt>
                  <c:pt idx="85">
                    <c:v>06/11/2022</c:v>
                  </c:pt>
                  <c:pt idx="86">
                    <c:v>15/11/2022</c:v>
                  </c:pt>
                  <c:pt idx="87">
                    <c:v>16/11/2022</c:v>
                  </c:pt>
                  <c:pt idx="88">
                    <c:v>21/11/2023</c:v>
                  </c:pt>
                  <c:pt idx="89">
                    <c:v>30/11/2023</c:v>
                  </c:pt>
                  <c:pt idx="90">
                    <c:v>09/12/2022</c:v>
                  </c:pt>
                  <c:pt idx="91">
                    <c:v>20/12/2022</c:v>
                  </c:pt>
                  <c:pt idx="92">
                    <c:v>04/12/2023</c:v>
                  </c:pt>
                  <c:pt idx="93">
                    <c:v>15/12/2023</c:v>
                  </c:pt>
                  <c:pt idx="94">
                    <c:v>29/12/2023</c:v>
                  </c:pt>
                  <c:pt idx="95">
                    <c:v>31/12/2023</c:v>
                  </c:pt>
                </c:lvl>
                <c:lvl>
                  <c:pt idx="0">
                    <c:v>Jan</c:v>
                  </c:pt>
                  <c:pt idx="13">
                    <c:v>Feb</c:v>
                  </c:pt>
                  <c:pt idx="22">
                    <c:v>Mar</c:v>
                  </c:pt>
                  <c:pt idx="34">
                    <c:v>Apr</c:v>
                  </c:pt>
                  <c:pt idx="43">
                    <c:v>May</c:v>
                  </c:pt>
                  <c:pt idx="53">
                    <c:v>Jun</c:v>
                  </c:pt>
                  <c:pt idx="58">
                    <c:v>Jul</c:v>
                  </c:pt>
                  <c:pt idx="64">
                    <c:v>Aug</c:v>
                  </c:pt>
                  <c:pt idx="71">
                    <c:v>Sep</c:v>
                  </c:pt>
                  <c:pt idx="78">
                    <c:v>Oct</c:v>
                  </c:pt>
                  <c:pt idx="84">
                    <c:v>Nov</c:v>
                  </c:pt>
                  <c:pt idx="90">
                    <c:v>Dec</c:v>
                  </c:pt>
                </c:lvl>
              </c:multiLvlStrCache>
            </c:multiLvlStrRef>
          </c:cat>
          <c:val>
            <c:numRef>
              <c:f>Sheet4!$B$21:$B$129</c:f>
              <c:numCache>
                <c:formatCode>General</c:formatCode>
                <c:ptCount val="96"/>
                <c:pt idx="0">
                  <c:v>23310.42</c:v>
                </c:pt>
                <c:pt idx="1">
                  <c:v>14762.66</c:v>
                </c:pt>
                <c:pt idx="2">
                  <c:v>51341.819999999992</c:v>
                </c:pt>
                <c:pt idx="3">
                  <c:v>26653.9</c:v>
                </c:pt>
                <c:pt idx="4">
                  <c:v>34122.85</c:v>
                </c:pt>
                <c:pt idx="5">
                  <c:v>17215.850000000002</c:v>
                </c:pt>
                <c:pt idx="6">
                  <c:v>17782.34</c:v>
                </c:pt>
                <c:pt idx="7">
                  <c:v>26635.289999999997</c:v>
                </c:pt>
                <c:pt idx="8">
                  <c:v>50661.880000000005</c:v>
                </c:pt>
                <c:pt idx="9">
                  <c:v>23227.649999999998</c:v>
                </c:pt>
                <c:pt idx="10">
                  <c:v>37012.17</c:v>
                </c:pt>
                <c:pt idx="11">
                  <c:v>16505</c:v>
                </c:pt>
                <c:pt idx="12">
                  <c:v>21347.03</c:v>
                </c:pt>
                <c:pt idx="13">
                  <c:v>31990.770000000004</c:v>
                </c:pt>
                <c:pt idx="14">
                  <c:v>17829.129999999997</c:v>
                </c:pt>
                <c:pt idx="15">
                  <c:v>35573.86</c:v>
                </c:pt>
                <c:pt idx="16">
                  <c:v>32156.68</c:v>
                </c:pt>
                <c:pt idx="17">
                  <c:v>29512.949999999993</c:v>
                </c:pt>
                <c:pt idx="18">
                  <c:v>41516.890000000007</c:v>
                </c:pt>
                <c:pt idx="19">
                  <c:v>32099.380000000005</c:v>
                </c:pt>
                <c:pt idx="20">
                  <c:v>29479.339999999997</c:v>
                </c:pt>
                <c:pt idx="21">
                  <c:v>41239.149999999994</c:v>
                </c:pt>
                <c:pt idx="22">
                  <c:v>35977.869999999995</c:v>
                </c:pt>
                <c:pt idx="23">
                  <c:v>47494.95</c:v>
                </c:pt>
                <c:pt idx="24">
                  <c:v>36644.980000000003</c:v>
                </c:pt>
                <c:pt idx="25">
                  <c:v>25454.690000000002</c:v>
                </c:pt>
                <c:pt idx="26">
                  <c:v>30301.69</c:v>
                </c:pt>
                <c:pt idx="27">
                  <c:v>45523.58</c:v>
                </c:pt>
                <c:pt idx="28">
                  <c:v>41709.709999999992</c:v>
                </c:pt>
                <c:pt idx="29">
                  <c:v>59717.81</c:v>
                </c:pt>
                <c:pt idx="30">
                  <c:v>39362.480000000003</c:v>
                </c:pt>
                <c:pt idx="31">
                  <c:v>23253.800000000003</c:v>
                </c:pt>
                <c:pt idx="32">
                  <c:v>53309.23</c:v>
                </c:pt>
                <c:pt idx="33">
                  <c:v>27968.6</c:v>
                </c:pt>
                <c:pt idx="34">
                  <c:v>51272.160000000003</c:v>
                </c:pt>
                <c:pt idx="35">
                  <c:v>11722.69</c:v>
                </c:pt>
                <c:pt idx="36">
                  <c:v>49871.139999999992</c:v>
                </c:pt>
                <c:pt idx="37">
                  <c:v>34697.599999999999</c:v>
                </c:pt>
                <c:pt idx="38">
                  <c:v>22157.440000000002</c:v>
                </c:pt>
                <c:pt idx="39">
                  <c:v>23754.26</c:v>
                </c:pt>
                <c:pt idx="40">
                  <c:v>32364.13</c:v>
                </c:pt>
                <c:pt idx="41">
                  <c:v>11250.029999999999</c:v>
                </c:pt>
                <c:pt idx="42">
                  <c:v>20732.400000000001</c:v>
                </c:pt>
                <c:pt idx="43">
                  <c:v>31905.48</c:v>
                </c:pt>
                <c:pt idx="44">
                  <c:v>12611.88</c:v>
                </c:pt>
                <c:pt idx="45">
                  <c:v>22651.11</c:v>
                </c:pt>
                <c:pt idx="46">
                  <c:v>40014.280000000006</c:v>
                </c:pt>
                <c:pt idx="47">
                  <c:v>45301.91</c:v>
                </c:pt>
                <c:pt idx="48">
                  <c:v>25637.42</c:v>
                </c:pt>
                <c:pt idx="49">
                  <c:v>61659.26999999999</c:v>
                </c:pt>
                <c:pt idx="50">
                  <c:v>31860.89</c:v>
                </c:pt>
                <c:pt idx="51">
                  <c:v>16066.490000000002</c:v>
                </c:pt>
                <c:pt idx="52">
                  <c:v>28279.010000000002</c:v>
                </c:pt>
                <c:pt idx="53">
                  <c:v>26510.98</c:v>
                </c:pt>
                <c:pt idx="54">
                  <c:v>9839.1</c:v>
                </c:pt>
                <c:pt idx="55">
                  <c:v>50953.21</c:v>
                </c:pt>
                <c:pt idx="56">
                  <c:v>12667.43</c:v>
                </c:pt>
                <c:pt idx="57">
                  <c:v>57116.72</c:v>
                </c:pt>
                <c:pt idx="58">
                  <c:v>34157.06</c:v>
                </c:pt>
                <c:pt idx="59">
                  <c:v>49241.210000000006</c:v>
                </c:pt>
                <c:pt idx="60">
                  <c:v>18555.830000000002</c:v>
                </c:pt>
                <c:pt idx="61">
                  <c:v>21613.539999999997</c:v>
                </c:pt>
                <c:pt idx="62">
                  <c:v>7722.119999999999</c:v>
                </c:pt>
                <c:pt idx="63">
                  <c:v>34366.370000000003</c:v>
                </c:pt>
                <c:pt idx="64">
                  <c:v>36143.919999999998</c:v>
                </c:pt>
                <c:pt idx="65">
                  <c:v>34940.99</c:v>
                </c:pt>
                <c:pt idx="66">
                  <c:v>39580.61</c:v>
                </c:pt>
                <c:pt idx="67">
                  <c:v>11065.98</c:v>
                </c:pt>
                <c:pt idx="68">
                  <c:v>34681.780000000006</c:v>
                </c:pt>
                <c:pt idx="69">
                  <c:v>40517.369999999995</c:v>
                </c:pt>
                <c:pt idx="70">
                  <c:v>50735.61</c:v>
                </c:pt>
                <c:pt idx="71">
                  <c:v>45458.350000000006</c:v>
                </c:pt>
                <c:pt idx="72">
                  <c:v>16808.07</c:v>
                </c:pt>
                <c:pt idx="73">
                  <c:v>21703.969999999998</c:v>
                </c:pt>
                <c:pt idx="74">
                  <c:v>23605.809999999998</c:v>
                </c:pt>
                <c:pt idx="75">
                  <c:v>33735.21</c:v>
                </c:pt>
                <c:pt idx="76">
                  <c:v>37040.169999999991</c:v>
                </c:pt>
                <c:pt idx="77">
                  <c:v>23504.98</c:v>
                </c:pt>
                <c:pt idx="78">
                  <c:v>25007.3</c:v>
                </c:pt>
                <c:pt idx="79">
                  <c:v>23095.480000000003</c:v>
                </c:pt>
                <c:pt idx="80">
                  <c:v>25373.179999999997</c:v>
                </c:pt>
                <c:pt idx="81">
                  <c:v>25495.599999999999</c:v>
                </c:pt>
                <c:pt idx="82">
                  <c:v>12179.6</c:v>
                </c:pt>
                <c:pt idx="83">
                  <c:v>17561.009999999998</c:v>
                </c:pt>
                <c:pt idx="84">
                  <c:v>12828.74</c:v>
                </c:pt>
                <c:pt idx="85">
                  <c:v>12596</c:v>
                </c:pt>
                <c:pt idx="86">
                  <c:v>23907.94</c:v>
                </c:pt>
                <c:pt idx="87">
                  <c:v>30151.020000000004</c:v>
                </c:pt>
                <c:pt idx="88">
                  <c:v>42376.240000000005</c:v>
                </c:pt>
                <c:pt idx="89">
                  <c:v>22537.210000000003</c:v>
                </c:pt>
                <c:pt idx="90">
                  <c:v>38801.579999999994</c:v>
                </c:pt>
                <c:pt idx="91">
                  <c:v>32057.42</c:v>
                </c:pt>
                <c:pt idx="92">
                  <c:v>35000.03</c:v>
                </c:pt>
                <c:pt idx="93">
                  <c:v>45535.74</c:v>
                </c:pt>
                <c:pt idx="94">
                  <c:v>37210.660000000003</c:v>
                </c:pt>
                <c:pt idx="95">
                  <c:v>35301.08</c:v>
                </c:pt>
              </c:numCache>
            </c:numRef>
          </c:val>
          <c:extLst>
            <c:ext xmlns:c16="http://schemas.microsoft.com/office/drawing/2014/chart" uri="{C3380CC4-5D6E-409C-BE32-E72D297353CC}">
              <c16:uniqueId val="{00000000-B77A-484C-812C-49422D05A565}"/>
            </c:ext>
          </c:extLst>
        </c:ser>
        <c:dLbls>
          <c:showLegendKey val="0"/>
          <c:showVal val="0"/>
          <c:showCatName val="0"/>
          <c:showSerName val="0"/>
          <c:showPercent val="0"/>
          <c:showBubbleSize val="0"/>
        </c:dLbls>
        <c:axId val="1267901328"/>
        <c:axId val="1267901808"/>
      </c:areaChart>
      <c:catAx>
        <c:axId val="1267901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01808"/>
        <c:crosses val="autoZero"/>
        <c:auto val="1"/>
        <c:lblAlgn val="ctr"/>
        <c:lblOffset val="100"/>
        <c:noMultiLvlLbl val="0"/>
      </c:catAx>
      <c:valAx>
        <c:axId val="126790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01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[Advanced_Excel_Data_Analyst_Practice (version 3).xlsx]Sheet4!PivotTable3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Sheet4!$B$20</c:f>
              <c:strCache>
                <c:ptCount val="1"/>
                <c:pt idx="0">
                  <c:v>Total</c:v>
                </c:pt>
              </c:strCache>
            </c:strRef>
          </c:tx>
          <c:spPr>
            <a:solidFill>
              <a:schemeClr val="accent1"/>
            </a:solidFill>
            <a:ln>
              <a:noFill/>
            </a:ln>
            <a:effectLst/>
          </c:spPr>
          <c:trendline>
            <c:spPr>
              <a:ln w="19050" cap="rnd">
                <a:solidFill>
                  <a:schemeClr val="accent1"/>
                </a:solidFill>
                <a:prstDash val="sysDot"/>
              </a:ln>
              <a:effectLst/>
            </c:spPr>
            <c:trendlineType val="linear"/>
            <c:forward val="2"/>
            <c:intercept val="0"/>
            <c:dispRSqr val="0"/>
            <c:dispEq val="0"/>
          </c:trendline>
          <c:cat>
            <c:multiLvlStrRef>
              <c:f>Sheet4!$A$21:$A$129</c:f>
              <c:multiLvlStrCache>
                <c:ptCount val="96"/>
                <c:lvl>
                  <c:pt idx="0">
                    <c:v>09/01/2022</c:v>
                  </c:pt>
                  <c:pt idx="1">
                    <c:v>11/01/2022</c:v>
                  </c:pt>
                  <c:pt idx="2">
                    <c:v>01/01/2023</c:v>
                  </c:pt>
                  <c:pt idx="3">
                    <c:v>18/01/2023</c:v>
                  </c:pt>
                  <c:pt idx="4">
                    <c:v>26/01/2023</c:v>
                  </c:pt>
                  <c:pt idx="5">
                    <c:v>06/01/2024</c:v>
                  </c:pt>
                  <c:pt idx="6">
                    <c:v>08/01/2024</c:v>
                  </c:pt>
                  <c:pt idx="7">
                    <c:v>13/01/2024</c:v>
                  </c:pt>
                  <c:pt idx="8">
                    <c:v>15/01/2024</c:v>
                  </c:pt>
                  <c:pt idx="9">
                    <c:v>18/01/2024</c:v>
                  </c:pt>
                  <c:pt idx="10">
                    <c:v>22/01/2024</c:v>
                  </c:pt>
                  <c:pt idx="11">
                    <c:v>23/01/2024</c:v>
                  </c:pt>
                  <c:pt idx="12">
                    <c:v>30/01/2024</c:v>
                  </c:pt>
                  <c:pt idx="13">
                    <c:v>02/02/2022</c:v>
                  </c:pt>
                  <c:pt idx="14">
                    <c:v>18/02/2022</c:v>
                  </c:pt>
                  <c:pt idx="15">
                    <c:v>25/02/2022</c:v>
                  </c:pt>
                  <c:pt idx="16">
                    <c:v>10/02/2023</c:v>
                  </c:pt>
                  <c:pt idx="17">
                    <c:v>13/02/2023</c:v>
                  </c:pt>
                  <c:pt idx="18">
                    <c:v>02/02/2024</c:v>
                  </c:pt>
                  <c:pt idx="19">
                    <c:v>04/02/2024</c:v>
                  </c:pt>
                  <c:pt idx="20">
                    <c:v>19/02/2024</c:v>
                  </c:pt>
                  <c:pt idx="21">
                    <c:v>26/02/2024</c:v>
                  </c:pt>
                  <c:pt idx="22">
                    <c:v>14/03/2022</c:v>
                  </c:pt>
                  <c:pt idx="23">
                    <c:v>17/03/2022</c:v>
                  </c:pt>
                  <c:pt idx="24">
                    <c:v>19/03/2022</c:v>
                  </c:pt>
                  <c:pt idx="25">
                    <c:v>20/03/2022</c:v>
                  </c:pt>
                  <c:pt idx="26">
                    <c:v>31/03/2022</c:v>
                  </c:pt>
                  <c:pt idx="27">
                    <c:v>05/03/2023</c:v>
                  </c:pt>
                  <c:pt idx="28">
                    <c:v>09/03/2023</c:v>
                  </c:pt>
                  <c:pt idx="29">
                    <c:v>24/03/2023</c:v>
                  </c:pt>
                  <c:pt idx="30">
                    <c:v>03/03/2024</c:v>
                  </c:pt>
                  <c:pt idx="31">
                    <c:v>13/03/2024</c:v>
                  </c:pt>
                  <c:pt idx="32">
                    <c:v>20/03/2024</c:v>
                  </c:pt>
                  <c:pt idx="33">
                    <c:v>24/03/2024</c:v>
                  </c:pt>
                  <c:pt idx="34">
                    <c:v>25/04/2022</c:v>
                  </c:pt>
                  <c:pt idx="35">
                    <c:v>03/04/2023</c:v>
                  </c:pt>
                  <c:pt idx="36">
                    <c:v>11/04/2023</c:v>
                  </c:pt>
                  <c:pt idx="37">
                    <c:v>15/04/2023</c:v>
                  </c:pt>
                  <c:pt idx="38">
                    <c:v>30/04/2023</c:v>
                  </c:pt>
                  <c:pt idx="39">
                    <c:v>21/04/2024</c:v>
                  </c:pt>
                  <c:pt idx="40">
                    <c:v>23/04/2024</c:v>
                  </c:pt>
                  <c:pt idx="41">
                    <c:v>25/04/2024</c:v>
                  </c:pt>
                  <c:pt idx="42">
                    <c:v>27/04/2024</c:v>
                  </c:pt>
                  <c:pt idx="43">
                    <c:v>11/05/2022</c:v>
                  </c:pt>
                  <c:pt idx="44">
                    <c:v>17/05/2022</c:v>
                  </c:pt>
                  <c:pt idx="45">
                    <c:v>27/05/2022</c:v>
                  </c:pt>
                  <c:pt idx="46">
                    <c:v>28/05/2022</c:v>
                  </c:pt>
                  <c:pt idx="47">
                    <c:v>02/05/2023</c:v>
                  </c:pt>
                  <c:pt idx="48">
                    <c:v>09/05/2023</c:v>
                  </c:pt>
                  <c:pt idx="49">
                    <c:v>14/05/2023</c:v>
                  </c:pt>
                  <c:pt idx="50">
                    <c:v>26/05/2023</c:v>
                  </c:pt>
                  <c:pt idx="51">
                    <c:v>23/05/2024</c:v>
                  </c:pt>
                  <c:pt idx="52">
                    <c:v>28/05/2024</c:v>
                  </c:pt>
                  <c:pt idx="53">
                    <c:v>03/06/2022</c:v>
                  </c:pt>
                  <c:pt idx="54">
                    <c:v>07/06/2022</c:v>
                  </c:pt>
                  <c:pt idx="55">
                    <c:v>21/06/2022</c:v>
                  </c:pt>
                  <c:pt idx="56">
                    <c:v>19/06/2023</c:v>
                  </c:pt>
                  <c:pt idx="57">
                    <c:v>28/06/2024</c:v>
                  </c:pt>
                  <c:pt idx="58">
                    <c:v>26/07/2022</c:v>
                  </c:pt>
                  <c:pt idx="59">
                    <c:v>09/07/2023</c:v>
                  </c:pt>
                  <c:pt idx="60">
                    <c:v>15/07/2023</c:v>
                  </c:pt>
                  <c:pt idx="61">
                    <c:v>18/07/2023</c:v>
                  </c:pt>
                  <c:pt idx="62">
                    <c:v>21/07/2023</c:v>
                  </c:pt>
                  <c:pt idx="63">
                    <c:v>01/07/2024</c:v>
                  </c:pt>
                  <c:pt idx="64">
                    <c:v>05/08/2022</c:v>
                  </c:pt>
                  <c:pt idx="65">
                    <c:v>19/08/2022</c:v>
                  </c:pt>
                  <c:pt idx="66">
                    <c:v>24/08/2022</c:v>
                  </c:pt>
                  <c:pt idx="67">
                    <c:v>25/08/2022</c:v>
                  </c:pt>
                  <c:pt idx="68">
                    <c:v>13/08/2023</c:v>
                  </c:pt>
                  <c:pt idx="69">
                    <c:v>22/08/2024</c:v>
                  </c:pt>
                  <c:pt idx="70">
                    <c:v>24/08/2024</c:v>
                  </c:pt>
                  <c:pt idx="71">
                    <c:v>02/09/2022</c:v>
                  </c:pt>
                  <c:pt idx="72">
                    <c:v>05/09/2022</c:v>
                  </c:pt>
                  <c:pt idx="73">
                    <c:v>14/09/2022</c:v>
                  </c:pt>
                  <c:pt idx="74">
                    <c:v>29/09/2022</c:v>
                  </c:pt>
                  <c:pt idx="75">
                    <c:v>25/09/2023</c:v>
                  </c:pt>
                  <c:pt idx="76">
                    <c:v>11/09/2024</c:v>
                  </c:pt>
                  <c:pt idx="77">
                    <c:v>12/09/2024</c:v>
                  </c:pt>
                  <c:pt idx="78">
                    <c:v>01/10/2022</c:v>
                  </c:pt>
                  <c:pt idx="79">
                    <c:v>07/10/2022</c:v>
                  </c:pt>
                  <c:pt idx="80">
                    <c:v>14/10/2022</c:v>
                  </c:pt>
                  <c:pt idx="81">
                    <c:v>18/10/2022</c:v>
                  </c:pt>
                  <c:pt idx="82">
                    <c:v>26/10/2022</c:v>
                  </c:pt>
                  <c:pt idx="83">
                    <c:v>15/10/2023</c:v>
                  </c:pt>
                  <c:pt idx="84">
                    <c:v>02/11/2022</c:v>
                  </c:pt>
                  <c:pt idx="85">
                    <c:v>06/11/2022</c:v>
                  </c:pt>
                  <c:pt idx="86">
                    <c:v>15/11/2022</c:v>
                  </c:pt>
                  <c:pt idx="87">
                    <c:v>16/11/2022</c:v>
                  </c:pt>
                  <c:pt idx="88">
                    <c:v>21/11/2023</c:v>
                  </c:pt>
                  <c:pt idx="89">
                    <c:v>30/11/2023</c:v>
                  </c:pt>
                  <c:pt idx="90">
                    <c:v>09/12/2022</c:v>
                  </c:pt>
                  <c:pt idx="91">
                    <c:v>20/12/2022</c:v>
                  </c:pt>
                  <c:pt idx="92">
                    <c:v>04/12/2023</c:v>
                  </c:pt>
                  <c:pt idx="93">
                    <c:v>15/12/2023</c:v>
                  </c:pt>
                  <c:pt idx="94">
                    <c:v>29/12/2023</c:v>
                  </c:pt>
                  <c:pt idx="95">
                    <c:v>31/12/2023</c:v>
                  </c:pt>
                </c:lvl>
                <c:lvl>
                  <c:pt idx="0">
                    <c:v>Jan</c:v>
                  </c:pt>
                  <c:pt idx="13">
                    <c:v>Feb</c:v>
                  </c:pt>
                  <c:pt idx="22">
                    <c:v>Mar</c:v>
                  </c:pt>
                  <c:pt idx="34">
                    <c:v>Apr</c:v>
                  </c:pt>
                  <c:pt idx="43">
                    <c:v>May</c:v>
                  </c:pt>
                  <c:pt idx="53">
                    <c:v>Jun</c:v>
                  </c:pt>
                  <c:pt idx="58">
                    <c:v>Jul</c:v>
                  </c:pt>
                  <c:pt idx="64">
                    <c:v>Aug</c:v>
                  </c:pt>
                  <c:pt idx="71">
                    <c:v>Sep</c:v>
                  </c:pt>
                  <c:pt idx="78">
                    <c:v>Oct</c:v>
                  </c:pt>
                  <c:pt idx="84">
                    <c:v>Nov</c:v>
                  </c:pt>
                  <c:pt idx="90">
                    <c:v>Dec</c:v>
                  </c:pt>
                </c:lvl>
              </c:multiLvlStrCache>
            </c:multiLvlStrRef>
          </c:cat>
          <c:val>
            <c:numRef>
              <c:f>Sheet4!$B$21:$B$129</c:f>
              <c:numCache>
                <c:formatCode>General</c:formatCode>
                <c:ptCount val="96"/>
                <c:pt idx="0">
                  <c:v>23310.42</c:v>
                </c:pt>
                <c:pt idx="1">
                  <c:v>14762.66</c:v>
                </c:pt>
                <c:pt idx="2">
                  <c:v>51341.819999999992</c:v>
                </c:pt>
                <c:pt idx="3">
                  <c:v>26653.9</c:v>
                </c:pt>
                <c:pt idx="4">
                  <c:v>34122.85</c:v>
                </c:pt>
                <c:pt idx="5">
                  <c:v>17215.850000000002</c:v>
                </c:pt>
                <c:pt idx="6">
                  <c:v>17782.34</c:v>
                </c:pt>
                <c:pt idx="7">
                  <c:v>26635.289999999997</c:v>
                </c:pt>
                <c:pt idx="8">
                  <c:v>50661.880000000005</c:v>
                </c:pt>
                <c:pt idx="9">
                  <c:v>23227.649999999998</c:v>
                </c:pt>
                <c:pt idx="10">
                  <c:v>37012.17</c:v>
                </c:pt>
                <c:pt idx="11">
                  <c:v>16505</c:v>
                </c:pt>
                <c:pt idx="12">
                  <c:v>21347.03</c:v>
                </c:pt>
                <c:pt idx="13">
                  <c:v>31990.770000000004</c:v>
                </c:pt>
                <c:pt idx="14">
                  <c:v>17829.129999999997</c:v>
                </c:pt>
                <c:pt idx="15">
                  <c:v>35573.86</c:v>
                </c:pt>
                <c:pt idx="16">
                  <c:v>32156.68</c:v>
                </c:pt>
                <c:pt idx="17">
                  <c:v>29512.949999999993</c:v>
                </c:pt>
                <c:pt idx="18">
                  <c:v>41516.890000000007</c:v>
                </c:pt>
                <c:pt idx="19">
                  <c:v>32099.380000000005</c:v>
                </c:pt>
                <c:pt idx="20">
                  <c:v>29479.339999999997</c:v>
                </c:pt>
                <c:pt idx="21">
                  <c:v>41239.149999999994</c:v>
                </c:pt>
                <c:pt idx="22">
                  <c:v>35977.869999999995</c:v>
                </c:pt>
                <c:pt idx="23">
                  <c:v>47494.95</c:v>
                </c:pt>
                <c:pt idx="24">
                  <c:v>36644.980000000003</c:v>
                </c:pt>
                <c:pt idx="25">
                  <c:v>25454.690000000002</c:v>
                </c:pt>
                <c:pt idx="26">
                  <c:v>30301.69</c:v>
                </c:pt>
                <c:pt idx="27">
                  <c:v>45523.58</c:v>
                </c:pt>
                <c:pt idx="28">
                  <c:v>41709.709999999992</c:v>
                </c:pt>
                <c:pt idx="29">
                  <c:v>59717.81</c:v>
                </c:pt>
                <c:pt idx="30">
                  <c:v>39362.480000000003</c:v>
                </c:pt>
                <c:pt idx="31">
                  <c:v>23253.800000000003</c:v>
                </c:pt>
                <c:pt idx="32">
                  <c:v>53309.23</c:v>
                </c:pt>
                <c:pt idx="33">
                  <c:v>27968.6</c:v>
                </c:pt>
                <c:pt idx="34">
                  <c:v>51272.160000000003</c:v>
                </c:pt>
                <c:pt idx="35">
                  <c:v>11722.69</c:v>
                </c:pt>
                <c:pt idx="36">
                  <c:v>49871.139999999992</c:v>
                </c:pt>
                <c:pt idx="37">
                  <c:v>34697.599999999999</c:v>
                </c:pt>
                <c:pt idx="38">
                  <c:v>22157.440000000002</c:v>
                </c:pt>
                <c:pt idx="39">
                  <c:v>23754.26</c:v>
                </c:pt>
                <c:pt idx="40">
                  <c:v>32364.13</c:v>
                </c:pt>
                <c:pt idx="41">
                  <c:v>11250.029999999999</c:v>
                </c:pt>
                <c:pt idx="42">
                  <c:v>20732.400000000001</c:v>
                </c:pt>
                <c:pt idx="43">
                  <c:v>31905.48</c:v>
                </c:pt>
                <c:pt idx="44">
                  <c:v>12611.88</c:v>
                </c:pt>
                <c:pt idx="45">
                  <c:v>22651.11</c:v>
                </c:pt>
                <c:pt idx="46">
                  <c:v>40014.280000000006</c:v>
                </c:pt>
                <c:pt idx="47">
                  <c:v>45301.91</c:v>
                </c:pt>
                <c:pt idx="48">
                  <c:v>25637.42</c:v>
                </c:pt>
                <c:pt idx="49">
                  <c:v>61659.26999999999</c:v>
                </c:pt>
                <c:pt idx="50">
                  <c:v>31860.89</c:v>
                </c:pt>
                <c:pt idx="51">
                  <c:v>16066.490000000002</c:v>
                </c:pt>
                <c:pt idx="52">
                  <c:v>28279.010000000002</c:v>
                </c:pt>
                <c:pt idx="53">
                  <c:v>26510.98</c:v>
                </c:pt>
                <c:pt idx="54">
                  <c:v>9839.1</c:v>
                </c:pt>
                <c:pt idx="55">
                  <c:v>50953.21</c:v>
                </c:pt>
                <c:pt idx="56">
                  <c:v>12667.43</c:v>
                </c:pt>
                <c:pt idx="57">
                  <c:v>57116.72</c:v>
                </c:pt>
                <c:pt idx="58">
                  <c:v>34157.06</c:v>
                </c:pt>
                <c:pt idx="59">
                  <c:v>49241.210000000006</c:v>
                </c:pt>
                <c:pt idx="60">
                  <c:v>18555.830000000002</c:v>
                </c:pt>
                <c:pt idx="61">
                  <c:v>21613.539999999997</c:v>
                </c:pt>
                <c:pt idx="62">
                  <c:v>7722.119999999999</c:v>
                </c:pt>
                <c:pt idx="63">
                  <c:v>34366.370000000003</c:v>
                </c:pt>
                <c:pt idx="64">
                  <c:v>36143.919999999998</c:v>
                </c:pt>
                <c:pt idx="65">
                  <c:v>34940.99</c:v>
                </c:pt>
                <c:pt idx="66">
                  <c:v>39580.61</c:v>
                </c:pt>
                <c:pt idx="67">
                  <c:v>11065.98</c:v>
                </c:pt>
                <c:pt idx="68">
                  <c:v>34681.780000000006</c:v>
                </c:pt>
                <c:pt idx="69">
                  <c:v>40517.369999999995</c:v>
                </c:pt>
                <c:pt idx="70">
                  <c:v>50735.61</c:v>
                </c:pt>
                <c:pt idx="71">
                  <c:v>45458.350000000006</c:v>
                </c:pt>
                <c:pt idx="72">
                  <c:v>16808.07</c:v>
                </c:pt>
                <c:pt idx="73">
                  <c:v>21703.969999999998</c:v>
                </c:pt>
                <c:pt idx="74">
                  <c:v>23605.809999999998</c:v>
                </c:pt>
                <c:pt idx="75">
                  <c:v>33735.21</c:v>
                </c:pt>
                <c:pt idx="76">
                  <c:v>37040.169999999991</c:v>
                </c:pt>
                <c:pt idx="77">
                  <c:v>23504.98</c:v>
                </c:pt>
                <c:pt idx="78">
                  <c:v>25007.3</c:v>
                </c:pt>
                <c:pt idx="79">
                  <c:v>23095.480000000003</c:v>
                </c:pt>
                <c:pt idx="80">
                  <c:v>25373.179999999997</c:v>
                </c:pt>
                <c:pt idx="81">
                  <c:v>25495.599999999999</c:v>
                </c:pt>
                <c:pt idx="82">
                  <c:v>12179.6</c:v>
                </c:pt>
                <c:pt idx="83">
                  <c:v>17561.009999999998</c:v>
                </c:pt>
                <c:pt idx="84">
                  <c:v>12828.74</c:v>
                </c:pt>
                <c:pt idx="85">
                  <c:v>12596</c:v>
                </c:pt>
                <c:pt idx="86">
                  <c:v>23907.94</c:v>
                </c:pt>
                <c:pt idx="87">
                  <c:v>30151.020000000004</c:v>
                </c:pt>
                <c:pt idx="88">
                  <c:v>42376.240000000005</c:v>
                </c:pt>
                <c:pt idx="89">
                  <c:v>22537.210000000003</c:v>
                </c:pt>
                <c:pt idx="90">
                  <c:v>38801.579999999994</c:v>
                </c:pt>
                <c:pt idx="91">
                  <c:v>32057.42</c:v>
                </c:pt>
                <c:pt idx="92">
                  <c:v>35000.03</c:v>
                </c:pt>
                <c:pt idx="93">
                  <c:v>45535.74</c:v>
                </c:pt>
                <c:pt idx="94">
                  <c:v>37210.660000000003</c:v>
                </c:pt>
                <c:pt idx="95">
                  <c:v>35301.08</c:v>
                </c:pt>
              </c:numCache>
            </c:numRef>
          </c:val>
          <c:extLst>
            <c:ext xmlns:c16="http://schemas.microsoft.com/office/drawing/2014/chart" uri="{C3380CC4-5D6E-409C-BE32-E72D297353CC}">
              <c16:uniqueId val="{00000000-172C-4619-8793-14E7946E70D9}"/>
            </c:ext>
          </c:extLst>
        </c:ser>
        <c:dLbls>
          <c:showLegendKey val="0"/>
          <c:showVal val="0"/>
          <c:showCatName val="0"/>
          <c:showSerName val="0"/>
          <c:showPercent val="0"/>
          <c:showBubbleSize val="0"/>
        </c:dLbls>
        <c:axId val="1267901328"/>
        <c:axId val="1267901808"/>
      </c:areaChart>
      <c:catAx>
        <c:axId val="1267901328"/>
        <c:scaling>
          <c:orientation val="minMax"/>
        </c:scaling>
        <c:delete val="1"/>
        <c:axPos val="b"/>
        <c:numFmt formatCode="General" sourceLinked="1"/>
        <c:majorTickMark val="out"/>
        <c:minorTickMark val="none"/>
        <c:tickLblPos val="nextTo"/>
        <c:crossAx val="1267901808"/>
        <c:crosses val="autoZero"/>
        <c:auto val="1"/>
        <c:lblAlgn val="ctr"/>
        <c:lblOffset val="100"/>
        <c:noMultiLvlLbl val="0"/>
      </c:catAx>
      <c:valAx>
        <c:axId val="1267901808"/>
        <c:scaling>
          <c:orientation val="minMax"/>
        </c:scaling>
        <c:delete val="1"/>
        <c:axPos val="l"/>
        <c:numFmt formatCode="General" sourceLinked="1"/>
        <c:majorTickMark val="none"/>
        <c:minorTickMark val="none"/>
        <c:tickLblPos val="nextTo"/>
        <c:crossAx val="1267901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Accessories</c:v>
              </c:pt>
              <c:pt idx="1">
                <c:v>Electronics</c:v>
              </c:pt>
              <c:pt idx="2">
                <c:v>Home Appliances</c:v>
              </c:pt>
              <c:pt idx="3">
                <c:v>Office Supplies</c:v>
              </c:pt>
            </c:strLit>
          </c:cat>
          <c:val>
            <c:numLit>
              <c:formatCode>General</c:formatCode>
              <c:ptCount val="4"/>
              <c:pt idx="0">
                <c:v>456904.07000000018</c:v>
              </c:pt>
              <c:pt idx="1">
                <c:v>238540.18</c:v>
              </c:pt>
              <c:pt idx="2">
                <c:v>1245170.4900000007</c:v>
              </c:pt>
              <c:pt idx="3">
                <c:v>1021173.4700000002</c:v>
              </c:pt>
            </c:numLit>
          </c:val>
          <c:extLst>
            <c:ext xmlns:c16="http://schemas.microsoft.com/office/drawing/2014/chart" uri="{C3380CC4-5D6E-409C-BE32-E72D297353CC}">
              <c16:uniqueId val="{00000000-B707-4E29-BE09-66955A4DF682}"/>
            </c:ext>
          </c:extLst>
        </c:ser>
        <c:dLbls>
          <c:showLegendKey val="0"/>
          <c:showVal val="0"/>
          <c:showCatName val="0"/>
          <c:showSerName val="0"/>
          <c:showPercent val="0"/>
          <c:showBubbleSize val="0"/>
        </c:dLbls>
        <c:gapWidth val="219"/>
        <c:overlap val="-27"/>
        <c:axId val="2049271120"/>
        <c:axId val="2049273040"/>
      </c:barChart>
      <c:catAx>
        <c:axId val="204927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73040"/>
        <c:crosses val="autoZero"/>
        <c:auto val="1"/>
        <c:lblAlgn val="ctr"/>
        <c:lblOffset val="100"/>
        <c:noMultiLvlLbl val="0"/>
        <c:extLst/>
      </c:catAx>
      <c:valAx>
        <c:axId val="204927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71120"/>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700745.01</c:v>
              </c:pt>
              <c:pt idx="1">
                <c:v>649759.02000000037</c:v>
              </c:pt>
              <c:pt idx="2">
                <c:v>759981.6800000004</c:v>
              </c:pt>
              <c:pt idx="3">
                <c:v>851302.50000000047</c:v>
              </c:pt>
            </c:numLit>
          </c:val>
          <c:extLst>
            <c:ext xmlns:c16="http://schemas.microsoft.com/office/drawing/2014/chart" uri="{C3380CC4-5D6E-409C-BE32-E72D297353CC}">
              <c16:uniqueId val="{00000000-CC16-47E3-9EA3-1B97664CDE5A}"/>
            </c:ext>
          </c:extLst>
        </c:ser>
        <c:dLbls>
          <c:showLegendKey val="0"/>
          <c:showVal val="0"/>
          <c:showCatName val="0"/>
          <c:showSerName val="0"/>
          <c:showPercent val="0"/>
          <c:showBubbleSize val="0"/>
        </c:dLbls>
        <c:gapWidth val="219"/>
        <c:overlap val="-27"/>
        <c:axId val="1937397472"/>
        <c:axId val="1937393152"/>
      </c:barChart>
      <c:catAx>
        <c:axId val="193739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93152"/>
        <c:crosses val="autoZero"/>
        <c:auto val="1"/>
        <c:lblAlgn val="ctr"/>
        <c:lblOffset val="100"/>
        <c:noMultiLvlLbl val="0"/>
        <c:extLst/>
      </c:catAx>
      <c:valAx>
        <c:axId val="193739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97472"/>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oneCellAnchor>
    <xdr:from>
      <xdr:col>15</xdr:col>
      <xdr:colOff>146050</xdr:colOff>
      <xdr:row>1</xdr:row>
      <xdr:rowOff>165101</xdr:rowOff>
    </xdr:from>
    <xdr:ext cx="1136650" cy="1403349"/>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A0618AF-EEFC-CEEE-7A76-34724FF409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4800" y="349251"/>
              <a:ext cx="1136650" cy="14033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0</xdr:colOff>
      <xdr:row>1</xdr:row>
      <xdr:rowOff>152401</xdr:rowOff>
    </xdr:from>
    <xdr:ext cx="1054100" cy="1422399"/>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E67557B-7E21-6E86-3623-B65BB82B59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07650" y="336551"/>
              <a:ext cx="1054100" cy="1422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260350</xdr:colOff>
      <xdr:row>1</xdr:row>
      <xdr:rowOff>171451</xdr:rowOff>
    </xdr:from>
    <xdr:ext cx="1270000" cy="1333500"/>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0D45AC66-46A4-89EB-AEAC-B9878696885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880350" y="355601"/>
              <a:ext cx="1270000"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14</xdr:col>
      <xdr:colOff>450849</xdr:colOff>
      <xdr:row>10</xdr:row>
      <xdr:rowOff>101600</xdr:rowOff>
    </xdr:from>
    <xdr:to>
      <xdr:col>20</xdr:col>
      <xdr:colOff>257174</xdr:colOff>
      <xdr:row>21</xdr:row>
      <xdr:rowOff>57150</xdr:rowOff>
    </xdr:to>
    <xdr:graphicFrame macro="">
      <xdr:nvGraphicFramePr>
        <xdr:cNvPr id="5" name="Chart 4">
          <a:extLst>
            <a:ext uri="{FF2B5EF4-FFF2-40B4-BE49-F238E27FC236}">
              <a16:creationId xmlns:a16="http://schemas.microsoft.com/office/drawing/2014/main" id="{2FD56953-A09F-1CCA-42C4-1379925A7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507999</xdr:colOff>
      <xdr:row>13</xdr:row>
      <xdr:rowOff>177800</xdr:rowOff>
    </xdr:from>
    <xdr:to>
      <xdr:col>14</xdr:col>
      <xdr:colOff>196850</xdr:colOff>
      <xdr:row>24</xdr:row>
      <xdr:rowOff>25400</xdr:rowOff>
    </xdr:to>
    <xdr:graphicFrame macro="">
      <xdr:nvGraphicFramePr>
        <xdr:cNvPr id="7" name="Chart 6">
          <a:extLst>
            <a:ext uri="{FF2B5EF4-FFF2-40B4-BE49-F238E27FC236}">
              <a16:creationId xmlns:a16="http://schemas.microsoft.com/office/drawing/2014/main" id="{5DFA2D50-7A7C-ADA9-C841-8F3275E94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304799</xdr:colOff>
      <xdr:row>24</xdr:row>
      <xdr:rowOff>177800</xdr:rowOff>
    </xdr:from>
    <xdr:to>
      <xdr:col>13</xdr:col>
      <xdr:colOff>415924</xdr:colOff>
      <xdr:row>34</xdr:row>
      <xdr:rowOff>127000</xdr:rowOff>
    </xdr:to>
    <xdr:graphicFrame macro="">
      <xdr:nvGraphicFramePr>
        <xdr:cNvPr id="8" name="Chart 7">
          <a:extLst>
            <a:ext uri="{FF2B5EF4-FFF2-40B4-BE49-F238E27FC236}">
              <a16:creationId xmlns:a16="http://schemas.microsoft.com/office/drawing/2014/main" id="{7CF5EF59-749D-6398-E88E-78AE5CDE2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20</xdr:row>
      <xdr:rowOff>57150</xdr:rowOff>
    </xdr:from>
    <xdr:to>
      <xdr:col>8</xdr:col>
      <xdr:colOff>196850</xdr:colOff>
      <xdr:row>33</xdr:row>
      <xdr:rowOff>165100</xdr:rowOff>
    </xdr:to>
    <xdr:graphicFrame macro="">
      <xdr:nvGraphicFramePr>
        <xdr:cNvPr id="9" name="Chart 8">
          <a:extLst>
            <a:ext uri="{FF2B5EF4-FFF2-40B4-BE49-F238E27FC236}">
              <a16:creationId xmlns:a16="http://schemas.microsoft.com/office/drawing/2014/main" id="{9A5196B8-17A3-4281-89C5-3C2285DE6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6</xdr:row>
      <xdr:rowOff>158750</xdr:rowOff>
    </xdr:from>
    <xdr:to>
      <xdr:col>2</xdr:col>
      <xdr:colOff>476250</xdr:colOff>
      <xdr:row>19</xdr:row>
      <xdr:rowOff>127000</xdr:rowOff>
    </xdr:to>
    <xdr:graphicFrame macro="">
      <xdr:nvGraphicFramePr>
        <xdr:cNvPr id="2" name="Chart 1">
          <a:extLst>
            <a:ext uri="{FF2B5EF4-FFF2-40B4-BE49-F238E27FC236}">
              <a16:creationId xmlns:a16="http://schemas.microsoft.com/office/drawing/2014/main" id="{D779F21B-9A61-4131-98AC-F8010AFB1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6</xdr:row>
      <xdr:rowOff>177800</xdr:rowOff>
    </xdr:from>
    <xdr:to>
      <xdr:col>5</xdr:col>
      <xdr:colOff>234951</xdr:colOff>
      <xdr:row>17</xdr:row>
      <xdr:rowOff>25400</xdr:rowOff>
    </xdr:to>
    <xdr:graphicFrame macro="">
      <xdr:nvGraphicFramePr>
        <xdr:cNvPr id="3" name="Chart 2">
          <a:extLst>
            <a:ext uri="{FF2B5EF4-FFF2-40B4-BE49-F238E27FC236}">
              <a16:creationId xmlns:a16="http://schemas.microsoft.com/office/drawing/2014/main" id="{58EDB9D8-4C63-4CC5-B7F4-086BB7313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7</xdr:row>
      <xdr:rowOff>0</xdr:rowOff>
    </xdr:from>
    <xdr:to>
      <xdr:col>8</xdr:col>
      <xdr:colOff>269875</xdr:colOff>
      <xdr:row>17</xdr:row>
      <xdr:rowOff>139700</xdr:rowOff>
    </xdr:to>
    <xdr:graphicFrame macro="">
      <xdr:nvGraphicFramePr>
        <xdr:cNvPr id="4" name="Chart 3">
          <a:extLst>
            <a:ext uri="{FF2B5EF4-FFF2-40B4-BE49-F238E27FC236}">
              <a16:creationId xmlns:a16="http://schemas.microsoft.com/office/drawing/2014/main" id="{199C5B33-10B0-4E79-8B3E-CB323934C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107950</xdr:colOff>
      <xdr:row>4</xdr:row>
      <xdr:rowOff>133351</xdr:rowOff>
    </xdr:from>
    <xdr:to>
      <xdr:col>10</xdr:col>
      <xdr:colOff>520700</xdr:colOff>
      <xdr:row>10</xdr:row>
      <xdr:rowOff>146050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944268C5-96B9-52C3-53D7-292B47FF87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17050" y="869951"/>
              <a:ext cx="1022350" cy="13271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10</xdr:row>
      <xdr:rowOff>57150</xdr:rowOff>
    </xdr:from>
    <xdr:to>
      <xdr:col>12</xdr:col>
      <xdr:colOff>508000</xdr:colOff>
      <xdr:row>17</xdr:row>
      <xdr:rowOff>101599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B9902A2D-4AC6-1C1C-1002-CD404ADC9E4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28300" y="2108200"/>
              <a:ext cx="1117600" cy="1333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577850</xdr:colOff>
      <xdr:row>4</xdr:row>
      <xdr:rowOff>120651</xdr:rowOff>
    </xdr:from>
    <xdr:to>
      <xdr:col>12</xdr:col>
      <xdr:colOff>514350</xdr:colOff>
      <xdr:row>9</xdr:row>
      <xdr:rowOff>146051</xdr:rowOff>
    </xdr:to>
    <mc:AlternateContent xmlns:mc="http://schemas.openxmlformats.org/markup-compatibility/2006" xmlns:a14="http://schemas.microsoft.com/office/drawing/2010/main">
      <mc:Choice Requires="a14">
        <xdr:graphicFrame macro="">
          <xdr:nvGraphicFramePr>
            <xdr:cNvPr id="8" name="Revenue">
              <a:extLst>
                <a:ext uri="{FF2B5EF4-FFF2-40B4-BE49-F238E27FC236}">
                  <a16:creationId xmlns:a16="http://schemas.microsoft.com/office/drawing/2014/main" id="{6E5D7574-AFE4-74E7-02FD-EFDB73E7CFEC}"/>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10496550" y="857251"/>
              <a:ext cx="11557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331920</xdr:colOff>
      <xdr:row>51</xdr:row>
      <xdr:rowOff>170160</xdr:rowOff>
    </xdr:from>
    <xdr:to>
      <xdr:col>6</xdr:col>
      <xdr:colOff>424440</xdr:colOff>
      <xdr:row>52</xdr:row>
      <xdr:rowOff>1490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B9967ED-0653-607E-33AD-51B9053669CA}"/>
                </a:ext>
              </a:extLst>
            </xdr14:cNvPr>
            <xdr14:cNvContentPartPr/>
          </xdr14:nvContentPartPr>
          <xdr14:nvPr macro=""/>
          <xdr14:xfrm>
            <a:off x="7875720" y="9561810"/>
            <a:ext cx="92520" cy="15480"/>
          </xdr14:xfrm>
        </xdr:contentPart>
      </mc:Choice>
      <mc:Fallback xmlns="">
        <xdr:pic>
          <xdr:nvPicPr>
            <xdr:cNvPr id="2" name="Ink 1">
              <a:extLst>
                <a:ext uri="{FF2B5EF4-FFF2-40B4-BE49-F238E27FC236}">
                  <a16:creationId xmlns:a16="http://schemas.microsoft.com/office/drawing/2014/main" id="{DB9967ED-0653-607E-33AD-51B9053669CA}"/>
                </a:ext>
              </a:extLst>
            </xdr:cNvPr>
            <xdr:cNvPicPr/>
          </xdr:nvPicPr>
          <xdr:blipFill>
            <a:blip xmlns:r="http://schemas.openxmlformats.org/officeDocument/2006/relationships" r:embed="rId2"/>
            <a:stretch>
              <a:fillRect/>
            </a:stretch>
          </xdr:blipFill>
          <xdr:spPr>
            <a:xfrm>
              <a:off x="7871400" y="9557490"/>
              <a:ext cx="101160" cy="24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2-24T06:09:25.787"/>
    </inkml:context>
    <inkml:brush xml:id="br0">
      <inkml:brushProperty name="width" value="0.025" units="cm"/>
      <inkml:brushProperty name="height" value="0.025" units="cm"/>
    </inkml:brush>
  </inkml:definitions>
  <inkml:trace contextRef="#ctx0" brushRef="#br0">257 1 3417 0 0,'-54'7'376'0'0,"0"1"-704"0"0,5 1-104 0 0,-1-1 376 0 0,0 1-1577 0 0</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59448738426" backgroundQuery="1" createdVersion="8" refreshedVersion="8" minRefreshableVersion="3" recordCount="0" supportSubquery="1" supportAdvancedDrill="1" xr:uid="{2946EDB6-1F1D-4DC7-828A-AA6C854F6045}">
  <cacheSource type="external" connectionId="1"/>
  <cacheFields count="4">
    <cacheField name="[Cuatomerstable].[Signup_Date].[Signup_Date]" caption="Signup_Date" numFmtId="0" hierarchy="4" level="1">
      <sharedItems containsSemiMixedTypes="0" containsNonDate="0" containsDate="1" containsString="0" minDate="2022-01-09T00:00:00" maxDate="2024-09-13T00:00:00" count="96">
        <d v="2022-01-09T00:00:00"/>
        <d v="2022-01-11T00:00:00"/>
        <d v="2023-01-01T00:00:00"/>
        <d v="2023-01-18T00:00:00"/>
        <d v="2023-01-26T00:00:00"/>
        <d v="2024-01-06T00:00:00"/>
        <d v="2024-01-08T00:00:00"/>
        <d v="2024-01-13T00:00:00"/>
        <d v="2024-01-15T00:00:00"/>
        <d v="2024-01-18T00:00:00"/>
        <d v="2024-01-22T00:00:00"/>
        <d v="2024-01-23T00:00:00"/>
        <d v="2024-01-30T00:00:00"/>
        <d v="2022-02-02T00:00:00"/>
        <d v="2022-02-18T00:00:00"/>
        <d v="2022-02-25T00:00:00"/>
        <d v="2023-02-10T00:00:00"/>
        <d v="2023-02-13T00:00:00"/>
        <d v="2024-02-02T00:00:00"/>
        <d v="2024-02-04T00:00:00"/>
        <d v="2024-02-19T00:00:00"/>
        <d v="2024-02-26T00:00:00"/>
        <d v="2022-03-14T00:00:00"/>
        <d v="2022-03-17T00:00:00"/>
        <d v="2022-03-19T00:00:00"/>
        <d v="2022-03-20T00:00:00"/>
        <d v="2022-03-31T00:00:00"/>
        <d v="2023-03-05T00:00:00"/>
        <d v="2023-03-09T00:00:00"/>
        <d v="2023-03-24T00:00:00"/>
        <d v="2024-03-03T00:00:00"/>
        <d v="2024-03-13T00:00:00"/>
        <d v="2024-03-20T00:00:00"/>
        <d v="2024-03-24T00:00:00"/>
        <d v="2022-04-25T00:00:00"/>
        <d v="2023-04-03T00:00:00"/>
        <d v="2023-04-11T00:00:00"/>
        <d v="2023-04-15T00:00:00"/>
        <d v="2023-04-30T00:00:00"/>
        <d v="2024-04-21T00:00:00"/>
        <d v="2024-04-23T00:00:00"/>
        <d v="2024-04-25T00:00:00"/>
        <d v="2024-04-27T00:00:00"/>
        <d v="2022-05-11T00:00:00"/>
        <d v="2022-05-17T00:00:00"/>
        <d v="2022-05-27T00:00:00"/>
        <d v="2022-05-28T00:00:00"/>
        <d v="2023-05-02T00:00:00"/>
        <d v="2023-05-09T00:00:00"/>
        <d v="2023-05-14T00:00:00"/>
        <d v="2023-05-26T00:00:00"/>
        <d v="2024-05-23T00:00:00"/>
        <d v="2024-05-28T00:00:00"/>
        <d v="2022-06-03T00:00:00"/>
        <d v="2022-06-07T00:00:00"/>
        <d v="2022-06-21T00:00:00"/>
        <d v="2023-06-19T00:00:00"/>
        <d v="2024-06-28T00:00:00"/>
        <d v="2022-07-26T00:00:00"/>
        <d v="2023-07-09T00:00:00"/>
        <d v="2023-07-15T00:00:00"/>
        <d v="2023-07-18T00:00:00"/>
        <d v="2023-07-21T00:00:00"/>
        <d v="2024-07-01T00:00:00"/>
        <d v="2022-08-05T00:00:00"/>
        <d v="2022-08-19T00:00:00"/>
        <d v="2022-08-24T00:00:00"/>
        <d v="2022-08-25T00:00:00"/>
        <d v="2023-08-13T00:00:00"/>
        <d v="2024-08-22T00:00:00"/>
        <d v="2024-08-24T00:00:00"/>
        <d v="2022-09-02T00:00:00"/>
        <d v="2022-09-05T00:00:00"/>
        <d v="2022-09-14T00:00:00"/>
        <d v="2022-09-29T00:00:00"/>
        <d v="2023-09-25T00:00:00"/>
        <d v="2024-09-11T00:00:00"/>
        <d v="2024-09-12T00:00:00"/>
        <d v="2022-10-01T00:00:00"/>
        <d v="2022-10-07T00:00:00"/>
        <d v="2022-10-14T00:00:00"/>
        <d v="2022-10-18T00:00:00"/>
        <d v="2022-10-26T00:00:00"/>
        <d v="2023-10-15T00:00:00"/>
        <d v="2022-11-02T00:00:00"/>
        <d v="2022-11-06T00:00:00"/>
        <d v="2022-11-15T00:00:00"/>
        <d v="2022-11-16T00:00:00"/>
        <d v="2023-11-21T00:00:00"/>
        <d v="2023-11-30T00:00:00"/>
        <d v="2022-12-09T00:00:00"/>
        <d v="2022-12-20T00:00:00"/>
        <d v="2023-12-04T00:00:00"/>
        <d v="2023-12-15T00:00:00"/>
        <d v="2023-12-29T00:00:00"/>
        <d v="2023-12-31T00:00:00"/>
      </sharedItems>
    </cacheField>
    <cacheField name="[Cuatomerstable].[Signup_Date (Month)].[Signup_Date (Month)]" caption="Signup_Date (Month)" numFmtId="0" hierarchy="7" level="1">
      <sharedItems count="12">
        <s v="Jan"/>
        <s v="Feb"/>
        <s v="Mar"/>
        <s v="Apr"/>
        <s v="May"/>
        <s v="Jun"/>
        <s v="Jul"/>
        <s v="Aug"/>
        <s v="Sep"/>
        <s v="Oct"/>
        <s v="Nov"/>
        <s v="Dec"/>
      </sharedItems>
    </cacheField>
    <cacheField name="[Measures].[Sum of Revenue]" caption="Sum of Revenue" numFmtId="0" hierarchy="28" level="32767"/>
    <cacheField name="[Cuatomerstable].[Region].[Region]" caption="Region" numFmtId="0" hierarchy="2" level="1">
      <sharedItems containsSemiMixedTypes="0" containsNonDate="0" containsString="0"/>
    </cacheField>
  </cacheFields>
  <cacheHierarchies count="32">
    <cacheHierarchy uniqueName="[Cuatomerstable].[Customer_ID]" caption="Customer_ID" attribute="1" defaultMemberUniqueName="[Cuatomerstable].[Customer_ID].[All]" allUniqueName="[Cuatomerstable].[Customer_ID].[All]" dimensionUniqueName="[Cuatomerstable]" displayFolder="" count="2" memberValueDatatype="130" unbalanced="0"/>
    <cacheHierarchy uniqueName="[Cuatomerstable].[Customer_Name]" caption="Customer_Name" attribute="1" defaultMemberUniqueName="[Cuatomerstable].[Customer_Name].[All]" allUniqueName="[Cuatomerstable].[Customer_Name].[All]" dimensionUniqueName="[Cuatomerstable]" displayFolder="" count="2" memberValueDatatype="130" unbalanced="0"/>
    <cacheHierarchy uniqueName="[Cuatomerstable].[Region]" caption="Region" attribute="1" defaultMemberUniqueName="[Cuatomerstable].[Region].[All]" allUniqueName="[Cuatomerstable].[Region].[All]" dimensionUniqueName="[Cuatomerstable]" displayFolder="" count="2" memberValueDatatype="130" unbalanced="0">
      <fieldsUsage count="2">
        <fieldUsage x="-1"/>
        <fieldUsage x="3"/>
      </fieldsUsage>
    </cacheHierarchy>
    <cacheHierarchy uniqueName="[Cuatomerstable].[Segment]" caption="Segment" attribute="1" defaultMemberUniqueName="[Cuatomerstable].[Segment].[All]" allUniqueName="[Cuatomerstable].[Segment].[All]" dimensionUniqueName="[Cuatomerstable]" displayFolder="" count="2" memberValueDatatype="130" unbalanced="0"/>
    <cacheHierarchy uniqueName="[Cuatomerstable].[Signup_Date]" caption="Signup_Date" attribute="1" time="1" defaultMemberUniqueName="[Cuatomerstable].[Signup_Date].[All]" allUniqueName="[Cuatomerstable].[Signup_Date].[All]" dimensionUniqueName="[Cuatomerstable]" displayFolder="" count="2" memberValueDatatype="7" unbalanced="0">
      <fieldsUsage count="2">
        <fieldUsage x="-1"/>
        <fieldUsage x="0"/>
      </fieldsUsage>
    </cacheHierarchy>
    <cacheHierarchy uniqueName="[Cuatomerstable].[Signup_Date (Year)]" caption="Signup_Date (Year)" attribute="1" defaultMemberUniqueName="[Cuatomerstable].[Signup_Date (Year)].[All]" allUniqueName="[Cuatomerstable].[Signup_Date (Year)].[All]" dimensionUniqueName="[Cuatomerstable]" displayFolder="" count="2"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2"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2" memberValueDatatype="130" unbalanced="0">
      <fieldsUsage count="2">
        <fieldUsage x="-1"/>
        <fieldUsage x="1"/>
      </fieldsUsage>
    </cacheHierarchy>
    <cacheHierarchy uniqueName="[ProductsTable].[Product_ID]" caption="Product_ID" attribute="1" defaultMemberUniqueName="[ProductsTable].[Product_ID].[All]" allUniqueName="[ProductsTable].[Product_ID].[All]" dimensionUniqueName="[ProductsTable]" displayFolder="" count="2" memberValueDatatype="130" unbalanced="0"/>
    <cacheHierarchy uniqueName="[ProductsTable].[Product_Name]" caption="Product_Name" attribute="1" defaultMemberUniqueName="[ProductsTable].[Product_Name].[All]" allUniqueName="[ProductsTable].[Product_Name].[All]" dimensionUniqueName="[ProductsTable]" displayFolder="" count="2"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Unit_Price]" caption="Unit_Price" attribute="1" defaultMemberUniqueName="[ProductsTable].[Unit_Price].[All]" allUniqueName="[ProductsTable].[Unit_Price].[All]" dimensionUniqueName="[ProductsTable]" displayFolder="" count="2" memberValueDatatype="5" unbalanced="0"/>
    <cacheHierarchy uniqueName="[ProductsTable].[Cost_Price]" caption="Cost_Price" attribute="1" defaultMemberUniqueName="[ProductsTable].[Cost_Price].[All]" allUniqueName="[ProductsTable].[Cost_Price].[All]" dimensionUniqueName="[ProductsTable]" displayFolder="" count="2" memberValueDatatype="5" unbalanced="0"/>
    <cacheHierarchy uniqueName="[SALESTABLE].[Order_ID]" caption="Order_ID" attribute="1" defaultMemberUniqueName="[SALESTABLE].[Order_ID].[All]" allUniqueName="[SALESTABLE].[Order_ID].[All]" dimensionUniqueName="[SALESTABLE]" displayFolder="" count="2"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Customer_ID]" caption="Customer_ID" attribute="1" defaultMemberUniqueName="[SALESTABLE].[Customer_ID].[All]" allUniqueName="[SALESTABLE].[Customer_ID].[All]" dimensionUniqueName="[SALESTABLE]" displayFolder="" count="2" memberValueDatatype="130" unbalanced="0"/>
    <cacheHierarchy uniqueName="[SALESTABLE].[Product_ID]" caption="Product_ID" attribute="1" defaultMemberUniqueName="[SALESTABLE].[Product_ID].[All]" allUniqueName="[SALESTABLE].[Product_I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2" memberValueDatatype="20" unbalanced="0"/>
    <cacheHierarchy uniqueName="[SALESTABLE].[Discount_%]" caption="Discount_%" attribute="1" defaultMemberUniqueName="[SALESTABLE].[Discount_%].[All]" allUniqueName="[SALESTABLE].[Discount_%].[All]" dimensionUniqueName="[SALESTABLE]" displayFolder="" count="2" memberValueDatatype="20" unbalanced="0"/>
    <cacheHierarchy uniqueName="[SALESTABLE].[Revenue]" caption="Revenue" attribute="1" defaultMemberUniqueName="[SALESTABLE].[Revenue].[All]" allUniqueName="[SALESTABLE].[Revenue].[All]" dimensionUniqueName="[SALESTABLE]" displayFolder="" count="2" memberValueDatatype="5" unbalanced="0"/>
    <cacheHierarchy uniqueName="[SALESTABLE].[COST]" caption="COST" attribute="1" defaultMemberUniqueName="[SALESTABLE].[COST].[All]" allUniqueName="[SALESTABLE].[COST].[All]" dimensionUniqueName="[SALESTABLE]" displayFolder="" count="2" memberValueDatatype="5" unbalanced="0"/>
    <cacheHierarchy uniqueName="[SALESTABLE].[PROFIT]" caption="PROFIT" attribute="1" defaultMemberUniqueName="[SALESTABLE].[PROFIT].[All]" allUniqueName="[SALESTABLE].[PROFIT].[All]" dimensionUniqueName="[SALESTABLE]" displayFolder="" count="2" memberValueDatatype="5" unbalanced="0"/>
    <cacheHierarchy uniqueName="[SALESTABLE].[MARGIN]" caption="MARGIN" attribute="1" defaultMemberUniqueName="[SALESTABLE].[MARGIN].[All]" allUniqueName="[SALESTABLE].[MARGIN].[All]" dimensionUniqueName="[SALESTABLE]" displayFolder="" count="2"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2"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hidden="1">
      <extLst>
        <ext xmlns:x15="http://schemas.microsoft.com/office/spreadsheetml/2010/11/main" uri="{B97F6D7D-B522-45F9-BDA1-12C45D357490}">
          <x15:cacheHierarchy aggregatedColumn="19"/>
        </ext>
      </extLst>
    </cacheHierarchy>
  </cacheHierarchies>
  <kpis count="0"/>
  <dimensions count="4">
    <dimension name="Cuatomerstable" uniqueName="[Cuatomerstable]" caption="Cuatomerstable"/>
    <dimension measure="1" name="Measures" uniqueName="[Measures]" caption="Measures"/>
    <dimension name="ProductsTable" uniqueName="[ProductsTable]" caption="ProductsTable"/>
    <dimension name="SALESTABLE" uniqueName="[SALESTABLE]" caption="SALESTABLE"/>
  </dimensions>
  <measureGroups count="3">
    <measureGroup name="Cuatomerstable" caption="Cuatomerstable"/>
    <measureGroup name="ProductsTable" caption="ProductsTable"/>
    <measureGroup name="SALESTABLE" caption="SALE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594487962961" backgroundQuery="1" createdVersion="8" refreshedVersion="8" minRefreshableVersion="3" recordCount="0" supportSubquery="1" supportAdvancedDrill="1" xr:uid="{CDA258E6-925F-42E1-9EC6-120DFFD9CC4D}">
  <cacheSource type="external" connectionId="1"/>
  <cacheFields count="3">
    <cacheField name="[ProductsTable].[Category].[Category]" caption="Category" numFmtId="0" hierarchy="10" level="1">
      <sharedItems count="4">
        <s v="Accessories"/>
        <s v="Electronics"/>
        <s v="Home Appliances"/>
        <s v="Office Supplies"/>
      </sharedItems>
    </cacheField>
    <cacheField name="[Measures].[Sum of Revenue]" caption="Sum of Revenue" numFmtId="0" hierarchy="28" level="32767"/>
    <cacheField name="[Cuatomerstable].[Region].[Region]" caption="Region" numFmtId="0" hierarchy="2" level="1">
      <sharedItems containsSemiMixedTypes="0" containsNonDate="0" containsString="0"/>
    </cacheField>
  </cacheFields>
  <cacheHierarchies count="32">
    <cacheHierarchy uniqueName="[Cuatomerstable].[Customer_ID]" caption="Customer_ID" attribute="1" defaultMemberUniqueName="[Cuatomerstable].[Customer_ID].[All]" allUniqueName="[Cuatomerstable].[Customer_ID].[All]" dimensionUniqueName="[Cuatomerstable]" displayFolder="" count="0" memberValueDatatype="130" unbalanced="0"/>
    <cacheHierarchy uniqueName="[Cuatomerstable].[Customer_Name]" caption="Customer_Name" attribute="1" defaultMemberUniqueName="[Cuatomerstable].[Customer_Name].[All]" allUniqueName="[Cuatomerstable].[Customer_Name].[All]" dimensionUniqueName="[Cuatomerstable]" displayFolder="" count="0" memberValueDatatype="130" unbalanced="0"/>
    <cacheHierarchy uniqueName="[Cuatomerstable].[Region]" caption="Region" attribute="1" defaultMemberUniqueName="[Cuatomerstable].[Region].[All]" allUniqueName="[Cuatomerstable].[Region].[All]" dimensionUniqueName="[Cuatomerstable]" displayFolder="" count="2" memberValueDatatype="130" unbalanced="0">
      <fieldsUsage count="2">
        <fieldUsage x="-1"/>
        <fieldUsage x="2"/>
      </fieldsUsage>
    </cacheHierarchy>
    <cacheHierarchy uniqueName="[Cuatomerstable].[Segment]" caption="Segment" attribute="1" defaultMemberUniqueName="[Cuatomerstable].[Segment].[All]" allUniqueName="[Cuatomerstable].[Segment].[All]" dimensionUniqueName="[Cuatomerstable]" displayFolder="" count="2" memberValueDatatype="130" unbalanced="0"/>
    <cacheHierarchy uniqueName="[Cuatomerstable].[Signup_Date]" caption="Signup_Date" attribute="1" time="1" defaultMemberUniqueName="[Cuatomerstable].[Signup_Date].[All]" allUniqueName="[Cuatomerstable].[Signup_Date].[All]" dimensionUniqueName="[Cuatomerstable]" displayFolder="" count="0" memberValueDatatype="7" unbalanced="0"/>
    <cacheHierarchy uniqueName="[Cuatomerstable].[Signup_Date (Year)]" caption="Signup_Date (Year)" attribute="1" defaultMemberUniqueName="[Cuatomerstable].[Signup_Date (Year)].[All]" allUniqueName="[Cuatomerstable].[Signup_Date (Year)].[All]" dimensionUniqueName="[Cuatomerstable]" displayFolder="" count="0"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0"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0" memberValueDatatype="130" unbalanced="0"/>
    <cacheHierarchy uniqueName="[ProductsTable].[Product_ID]" caption="Product_ID" attribute="1" defaultMemberUniqueName="[ProductsTable].[Product_ID].[All]" allUniqueName="[ProductsTable].[Product_ID].[All]" dimensionUniqueName="[ProductsTable]" displayFolder="" count="0" memberValueDatatype="130" unbalanced="0"/>
    <cacheHierarchy uniqueName="[ProductsTable].[Product_Name]" caption="Product_Name" attribute="1" defaultMemberUniqueName="[ProductsTable].[Product_Name].[All]" allUniqueName="[ProductsTable].[Product_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fieldsUsage count="2">
        <fieldUsage x="-1"/>
        <fieldUsage x="0"/>
      </fieldsUsage>
    </cacheHierarchy>
    <cacheHierarchy uniqueName="[ProductsTable].[Unit_Price]" caption="Unit_Price" attribute="1" defaultMemberUniqueName="[ProductsTable].[Unit_Price].[All]" allUniqueName="[ProductsTable].[Unit_Price].[All]" dimensionUniqueName="[ProductsTable]" displayFolder="" count="0" memberValueDatatype="5" unbalanced="0"/>
    <cacheHierarchy uniqueName="[ProductsTable].[Cost_Price]" caption="Cost_Price" attribute="1" defaultMemberUniqueName="[ProductsTable].[Cost_Price].[All]" allUniqueName="[ProductsTable].[Cost_Price].[All]" dimensionUniqueName="[ProductsTable]" displayFolder="" count="0" memberValueDatatype="5"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Discount_%]" caption="Discount_%" attribute="1" defaultMemberUniqueName="[SALESTABLE].[Discount_%].[All]" allUniqueName="[SALESTABLE].[Discount_%].[All]" dimensionUniqueName="[SALESTABLE]" displayFolder="" count="0" memberValueDatatype="20" unbalanced="0"/>
    <cacheHierarchy uniqueName="[SALESTABLE].[Revenue]" caption="Revenue" attribute="1" defaultMemberUniqueName="[SALESTABLE].[Revenue].[All]" allUniqueName="[SALESTABLE].[Revenue].[All]" dimensionUniqueName="[SALESTABLE]" displayFolder="" count="2" memberValueDatatype="5" unbalanced="0"/>
    <cacheHierarchy uniqueName="[SALESTABLE].[COST]" caption="COST" attribute="1" defaultMemberUniqueName="[SALESTABLE].[COST].[All]" allUniqueName="[SALESTABLE].[COS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MARGIN]" caption="MARGIN" attribute="1" defaultMemberUniqueName="[SALESTABLE].[MARGIN].[All]" allUniqueName="[SALESTABLE].[MARGIN].[All]" dimensionUniqueName="[SALESTABLE]" displayFolder="" count="0"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0"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hidden="1">
      <extLst>
        <ext xmlns:x15="http://schemas.microsoft.com/office/spreadsheetml/2010/11/main" uri="{B97F6D7D-B522-45F9-BDA1-12C45D357490}">
          <x15:cacheHierarchy aggregatedColumn="19"/>
        </ext>
      </extLst>
    </cacheHierarchy>
  </cacheHierarchies>
  <kpis count="0"/>
  <dimensions count="4">
    <dimension name="Cuatomerstable" uniqueName="[Cuatomerstable]" caption="Cuatomerstable"/>
    <dimension measure="1" name="Measures" uniqueName="[Measures]" caption="Measures"/>
    <dimension name="ProductsTable" uniqueName="[ProductsTable]" caption="ProductsTable"/>
    <dimension name="SALESTABLE" uniqueName="[SALESTABLE]" caption="SALESTABLE"/>
  </dimensions>
  <measureGroups count="3">
    <measureGroup name="Cuatomerstable" caption="Cuatomerstable"/>
    <measureGroup name="ProductsTable" caption="ProductsTable"/>
    <measureGroup name="SALESTABLE" caption="SALE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594488310184" backgroundQuery="1" createdVersion="8" refreshedVersion="8" minRefreshableVersion="3" recordCount="0" supportSubquery="1" supportAdvancedDrill="1" xr:uid="{B287F0E4-B3A3-4881-9CA4-800E96428051}">
  <cacheSource type="external" connectionId="1"/>
  <cacheFields count="3">
    <cacheField name="[Cuatomerstable].[Segment].[Segment]" caption="Segment" numFmtId="0" hierarchy="3" level="1">
      <sharedItems count="3">
        <s v="Corporate"/>
        <s v="Individual"/>
        <s v="SME"/>
      </sharedItems>
    </cacheField>
    <cacheField name="[Measures].[Sum of Revenue]" caption="Sum of Revenue" numFmtId="0" hierarchy="28" level="32767"/>
    <cacheField name="[Cuatomerstable].[Region].[Region]" caption="Region" numFmtId="0" hierarchy="2" level="1">
      <sharedItems containsSemiMixedTypes="0" containsNonDate="0" containsString="0"/>
    </cacheField>
  </cacheFields>
  <cacheHierarchies count="32">
    <cacheHierarchy uniqueName="[Cuatomerstable].[Customer_ID]" caption="Customer_ID" attribute="1" defaultMemberUniqueName="[Cuatomerstable].[Customer_ID].[All]" allUniqueName="[Cuatomerstable].[Customer_ID].[All]" dimensionUniqueName="[Cuatomerstable]" displayFolder="" count="0" memberValueDatatype="130" unbalanced="0"/>
    <cacheHierarchy uniqueName="[Cuatomerstable].[Customer_Name]" caption="Customer_Name" attribute="1" defaultMemberUniqueName="[Cuatomerstable].[Customer_Name].[All]" allUniqueName="[Cuatomerstable].[Customer_Name].[All]" dimensionUniqueName="[Cuatomerstable]" displayFolder="" count="0" memberValueDatatype="130" unbalanced="0"/>
    <cacheHierarchy uniqueName="[Cuatomerstable].[Region]" caption="Region" attribute="1" defaultMemberUniqueName="[Cuatomerstable].[Region].[All]" allUniqueName="[Cuatomerstable].[Region].[All]" dimensionUniqueName="[Cuatomerstable]" displayFolder="" count="2" memberValueDatatype="130" unbalanced="0">
      <fieldsUsage count="2">
        <fieldUsage x="-1"/>
        <fieldUsage x="2"/>
      </fieldsUsage>
    </cacheHierarchy>
    <cacheHierarchy uniqueName="[Cuatomerstable].[Segment]" caption="Segment" attribute="1" defaultMemberUniqueName="[Cuatomerstable].[Segment].[All]" allUniqueName="[Cuatomerstable].[Segment].[All]" dimensionUniqueName="[Cuatomerstable]" displayFolder="" count="2" memberValueDatatype="130" unbalanced="0">
      <fieldsUsage count="2">
        <fieldUsage x="-1"/>
        <fieldUsage x="0"/>
      </fieldsUsage>
    </cacheHierarchy>
    <cacheHierarchy uniqueName="[Cuatomerstable].[Signup_Date]" caption="Signup_Date" attribute="1" time="1" defaultMemberUniqueName="[Cuatomerstable].[Signup_Date].[All]" allUniqueName="[Cuatomerstable].[Signup_Date].[All]" dimensionUniqueName="[Cuatomerstable]" displayFolder="" count="0" memberValueDatatype="7" unbalanced="0"/>
    <cacheHierarchy uniqueName="[Cuatomerstable].[Signup_Date (Year)]" caption="Signup_Date (Year)" attribute="1" defaultMemberUniqueName="[Cuatomerstable].[Signup_Date (Year)].[All]" allUniqueName="[Cuatomerstable].[Signup_Date (Year)].[All]" dimensionUniqueName="[Cuatomerstable]" displayFolder="" count="0"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0"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0" memberValueDatatype="130" unbalanced="0"/>
    <cacheHierarchy uniqueName="[ProductsTable].[Product_ID]" caption="Product_ID" attribute="1" defaultMemberUniqueName="[ProductsTable].[Product_ID].[All]" allUniqueName="[ProductsTable].[Product_ID].[All]" dimensionUniqueName="[ProductsTable]" displayFolder="" count="0" memberValueDatatype="130" unbalanced="0"/>
    <cacheHierarchy uniqueName="[ProductsTable].[Product_Name]" caption="Product_Name" attribute="1" defaultMemberUniqueName="[ProductsTable].[Product_Name].[All]" allUniqueName="[ProductsTable].[Product_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Unit_Price]" caption="Unit_Price" attribute="1" defaultMemberUniqueName="[ProductsTable].[Unit_Price].[All]" allUniqueName="[ProductsTable].[Unit_Price].[All]" dimensionUniqueName="[ProductsTable]" displayFolder="" count="0" memberValueDatatype="5" unbalanced="0"/>
    <cacheHierarchy uniqueName="[ProductsTable].[Cost_Price]" caption="Cost_Price" attribute="1" defaultMemberUniqueName="[ProductsTable].[Cost_Price].[All]" allUniqueName="[ProductsTable].[Cost_Price].[All]" dimensionUniqueName="[ProductsTable]" displayFolder="" count="0" memberValueDatatype="5"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Discount_%]" caption="Discount_%" attribute="1" defaultMemberUniqueName="[SALESTABLE].[Discount_%].[All]" allUniqueName="[SALESTABLE].[Discount_%].[All]" dimensionUniqueName="[SALESTABLE]" displayFolder="" count="0" memberValueDatatype="20" unbalanced="0"/>
    <cacheHierarchy uniqueName="[SALESTABLE].[Revenue]" caption="Revenue" attribute="1" defaultMemberUniqueName="[SALESTABLE].[Revenue].[All]" allUniqueName="[SALESTABLE].[Revenue].[All]" dimensionUniqueName="[SALESTABLE]" displayFolder="" count="2" memberValueDatatype="5" unbalanced="0"/>
    <cacheHierarchy uniqueName="[SALESTABLE].[COST]" caption="COST" attribute="1" defaultMemberUniqueName="[SALESTABLE].[COST].[All]" allUniqueName="[SALESTABLE].[COS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MARGIN]" caption="MARGIN" attribute="1" defaultMemberUniqueName="[SALESTABLE].[MARGIN].[All]" allUniqueName="[SALESTABLE].[MARGIN].[All]" dimensionUniqueName="[SALESTABLE]" displayFolder="" count="0"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0"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hidden="1">
      <extLst>
        <ext xmlns:x15="http://schemas.microsoft.com/office/spreadsheetml/2010/11/main" uri="{B97F6D7D-B522-45F9-BDA1-12C45D357490}">
          <x15:cacheHierarchy aggregatedColumn="19"/>
        </ext>
      </extLst>
    </cacheHierarchy>
  </cacheHierarchies>
  <kpis count="0"/>
  <dimensions count="4">
    <dimension name="Cuatomerstable" uniqueName="[Cuatomerstable]" caption="Cuatomerstable"/>
    <dimension measure="1" name="Measures" uniqueName="[Measures]" caption="Measures"/>
    <dimension name="ProductsTable" uniqueName="[ProductsTable]" caption="ProductsTable"/>
    <dimension name="SALESTABLE" uniqueName="[SALESTABLE]" caption="SALESTABLE"/>
  </dimensions>
  <measureGroups count="3">
    <measureGroup name="Cuatomerstable" caption="Cuatomerstable"/>
    <measureGroup name="ProductsTable" caption="ProductsTable"/>
    <measureGroup name="SALESTABLE" caption="SALE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594488888892" backgroundQuery="1" createdVersion="8" refreshedVersion="8" minRefreshableVersion="3" recordCount="0" supportSubquery="1" supportAdvancedDrill="1" xr:uid="{527D5043-380A-4CCC-AB52-CE5F9FC455E0}">
  <cacheSource type="external" connectionId="1"/>
  <cacheFields count="2">
    <cacheField name="[Cuatomerstable].[Region].[Region]" caption="Region" numFmtId="0" hierarchy="2" level="1">
      <sharedItems count="4">
        <s v="East"/>
        <s v="North"/>
        <s v="South"/>
        <s v="West"/>
      </sharedItems>
    </cacheField>
    <cacheField name="[Measures].[Sum of Revenue]" caption="Sum of Revenue" numFmtId="0" hierarchy="28" level="32767"/>
  </cacheFields>
  <cacheHierarchies count="32">
    <cacheHierarchy uniqueName="[Cuatomerstable].[Customer_ID]" caption="Customer_ID" attribute="1" defaultMemberUniqueName="[Cuatomerstable].[Customer_ID].[All]" allUniqueName="[Cuatomerstable].[Customer_ID].[All]" dimensionUniqueName="[Cuatomerstable]" displayFolder="" count="0" memberValueDatatype="130" unbalanced="0"/>
    <cacheHierarchy uniqueName="[Cuatomerstable].[Customer_Name]" caption="Customer_Name" attribute="1" defaultMemberUniqueName="[Cuatomerstable].[Customer_Name].[All]" allUniqueName="[Cuatomerstable].[Customer_Name].[All]" dimensionUniqueName="[Cuatomerstable]" displayFolder="" count="0" memberValueDatatype="130" unbalanced="0"/>
    <cacheHierarchy uniqueName="[Cuatomerstable].[Region]" caption="Region" attribute="1" defaultMemberUniqueName="[Cuatomerstable].[Region].[All]" allUniqueName="[Cuatomerstable].[Region].[All]" dimensionUniqueName="[Cuatomerstable]" displayFolder="" count="2" memberValueDatatype="130" unbalanced="0">
      <fieldsUsage count="2">
        <fieldUsage x="-1"/>
        <fieldUsage x="0"/>
      </fieldsUsage>
    </cacheHierarchy>
    <cacheHierarchy uniqueName="[Cuatomerstable].[Segment]" caption="Segment" attribute="1" defaultMemberUniqueName="[Cuatomerstable].[Segment].[All]" allUniqueName="[Cuatomerstable].[Segment].[All]" dimensionUniqueName="[Cuatomerstable]" displayFolder="" count="0" memberValueDatatype="130" unbalanced="0"/>
    <cacheHierarchy uniqueName="[Cuatomerstable].[Signup_Date]" caption="Signup_Date" attribute="1" time="1" defaultMemberUniqueName="[Cuatomerstable].[Signup_Date].[All]" allUniqueName="[Cuatomerstable].[Signup_Date].[All]" dimensionUniqueName="[Cuatomerstable]" displayFolder="" count="0" memberValueDatatype="7" unbalanced="0"/>
    <cacheHierarchy uniqueName="[Cuatomerstable].[Signup_Date (Year)]" caption="Signup_Date (Year)" attribute="1" defaultMemberUniqueName="[Cuatomerstable].[Signup_Date (Year)].[All]" allUniqueName="[Cuatomerstable].[Signup_Date (Year)].[All]" dimensionUniqueName="[Cuatomerstable]" displayFolder="" count="0"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0"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0" memberValueDatatype="130" unbalanced="0"/>
    <cacheHierarchy uniqueName="[ProductsTable].[Product_ID]" caption="Product_ID" attribute="1" defaultMemberUniqueName="[ProductsTable].[Product_ID].[All]" allUniqueName="[ProductsTable].[Product_ID].[All]" dimensionUniqueName="[ProductsTable]" displayFolder="" count="0" memberValueDatatype="130" unbalanced="0"/>
    <cacheHierarchy uniqueName="[ProductsTable].[Product_Name]" caption="Product_Name" attribute="1" defaultMemberUniqueName="[ProductsTable].[Product_Name].[All]" allUniqueName="[ProductsTable].[Product_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Unit_Price]" caption="Unit_Price" attribute="1" defaultMemberUniqueName="[ProductsTable].[Unit_Price].[All]" allUniqueName="[ProductsTable].[Unit_Price].[All]" dimensionUniqueName="[ProductsTable]" displayFolder="" count="0" memberValueDatatype="5" unbalanced="0"/>
    <cacheHierarchy uniqueName="[ProductsTable].[Cost_Price]" caption="Cost_Price" attribute="1" defaultMemberUniqueName="[ProductsTable].[Cost_Price].[All]" allUniqueName="[ProductsTable].[Cost_Price].[All]" dimensionUniqueName="[ProductsTable]" displayFolder="" count="0" memberValueDatatype="5"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Discount_%]" caption="Discount_%" attribute="1" defaultMemberUniqueName="[SALESTABLE].[Discount_%].[All]" allUniqueName="[SALESTABLE].[Discount_%].[All]" dimensionUniqueName="[SALESTABLE]" displayFolder="" count="0" memberValueDatatype="20" unbalanced="0"/>
    <cacheHierarchy uniqueName="[SALESTABLE].[Revenue]" caption="Revenue" attribute="1" defaultMemberUniqueName="[SALESTABLE].[Revenue].[All]" allUniqueName="[SALESTABLE].[Revenue].[All]" dimensionUniqueName="[SALESTABLE]" displayFolder="" count="2" memberValueDatatype="5" unbalanced="0"/>
    <cacheHierarchy uniqueName="[SALESTABLE].[COST]" caption="COST" attribute="1" defaultMemberUniqueName="[SALESTABLE].[COST].[All]" allUniqueName="[SALESTABLE].[COS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MARGIN]" caption="MARGIN" attribute="1" defaultMemberUniqueName="[SALESTABLE].[MARGIN].[All]" allUniqueName="[SALESTABLE].[MARGIN].[All]" dimensionUniqueName="[SALESTABLE]" displayFolder="" count="0"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0"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hidden="1">
      <extLst>
        <ext xmlns:x15="http://schemas.microsoft.com/office/spreadsheetml/2010/11/main" uri="{B97F6D7D-B522-45F9-BDA1-12C45D357490}">
          <x15:cacheHierarchy aggregatedColumn="19"/>
        </ext>
      </extLst>
    </cacheHierarchy>
  </cacheHierarchies>
  <kpis count="0"/>
  <dimensions count="4">
    <dimension name="Cuatomerstable" uniqueName="[Cuatomerstable]" caption="Cuatomerstable"/>
    <dimension measure="1" name="Measures" uniqueName="[Measures]" caption="Measures"/>
    <dimension name="ProductsTable" uniqueName="[ProductsTable]" caption="ProductsTable"/>
    <dimension name="SALESTABLE" uniqueName="[SALESTABLE]" caption="SALESTABLE"/>
  </dimensions>
  <measureGroups count="3">
    <measureGroup name="Cuatomerstable" caption="Cuatomerstable"/>
    <measureGroup name="ProductsTable" caption="ProductsTable"/>
    <measureGroup name="SALESTABLE" caption="SALE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59448900463" backgroundQuery="1" createdVersion="8" refreshedVersion="8" minRefreshableVersion="3" recordCount="0" supportSubquery="1" supportAdvancedDrill="1" xr:uid="{7BCA1060-5822-41E2-8106-435C6BFCC984}">
  <cacheSource type="external" connectionId="1"/>
  <cacheFields count="2">
    <cacheField name="[Measures].[Sum of PROFIT]" caption="Sum of PROFIT" numFmtId="0" hierarchy="30" level="32767"/>
    <cacheField name="[Cuatomerstable].[Region].[Region]" caption="Region" numFmtId="0" hierarchy="2" level="1">
      <sharedItems containsSemiMixedTypes="0" containsNonDate="0" containsString="0"/>
    </cacheField>
  </cacheFields>
  <cacheHierarchies count="32">
    <cacheHierarchy uniqueName="[Cuatomerstable].[Customer_ID]" caption="Customer_ID" attribute="1" defaultMemberUniqueName="[Cuatomerstable].[Customer_ID].[All]" allUniqueName="[Cuatomerstable].[Customer_ID].[All]" dimensionUniqueName="[Cuatomerstable]" displayFolder="" count="0" memberValueDatatype="130" unbalanced="0"/>
    <cacheHierarchy uniqueName="[Cuatomerstable].[Customer_Name]" caption="Customer_Name" attribute="1" defaultMemberUniqueName="[Cuatomerstable].[Customer_Name].[All]" allUniqueName="[Cuatomerstable].[Customer_Name].[All]" dimensionUniqueName="[Cuatomerstable]" displayFolder="" count="0" memberValueDatatype="130" unbalanced="0"/>
    <cacheHierarchy uniqueName="[Cuatomerstable].[Region]" caption="Region" attribute="1" defaultMemberUniqueName="[Cuatomerstable].[Region].[All]" allUniqueName="[Cuatomerstable].[Region].[All]" dimensionUniqueName="[Cuatomerstable]" displayFolder="" count="2" memberValueDatatype="130" unbalanced="0">
      <fieldsUsage count="2">
        <fieldUsage x="-1"/>
        <fieldUsage x="1"/>
      </fieldsUsage>
    </cacheHierarchy>
    <cacheHierarchy uniqueName="[Cuatomerstable].[Segment]" caption="Segment" attribute="1" defaultMemberUniqueName="[Cuatomerstable].[Segment].[All]" allUniqueName="[Cuatomerstable].[Segment].[All]" dimensionUniqueName="[Cuatomerstable]" displayFolder="" count="0" memberValueDatatype="130" unbalanced="0"/>
    <cacheHierarchy uniqueName="[Cuatomerstable].[Signup_Date]" caption="Signup_Date" attribute="1" time="1" defaultMemberUniqueName="[Cuatomerstable].[Signup_Date].[All]" allUniqueName="[Cuatomerstable].[Signup_Date].[All]" dimensionUniqueName="[Cuatomerstable]" displayFolder="" count="0" memberValueDatatype="7" unbalanced="0"/>
    <cacheHierarchy uniqueName="[Cuatomerstable].[Signup_Date (Year)]" caption="Signup_Date (Year)" attribute="1" defaultMemberUniqueName="[Cuatomerstable].[Signup_Date (Year)].[All]" allUniqueName="[Cuatomerstable].[Signup_Date (Year)].[All]" dimensionUniqueName="[Cuatomerstable]" displayFolder="" count="0"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0"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0" memberValueDatatype="130" unbalanced="0"/>
    <cacheHierarchy uniqueName="[ProductsTable].[Product_ID]" caption="Product_ID" attribute="1" defaultMemberUniqueName="[ProductsTable].[Product_ID].[All]" allUniqueName="[ProductsTable].[Product_ID].[All]" dimensionUniqueName="[ProductsTable]" displayFolder="" count="0" memberValueDatatype="130" unbalanced="0"/>
    <cacheHierarchy uniqueName="[ProductsTable].[Product_Name]" caption="Product_Name" attribute="1" defaultMemberUniqueName="[ProductsTable].[Product_Name].[All]" allUniqueName="[ProductsTable].[Product_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Unit_Price]" caption="Unit_Price" attribute="1" defaultMemberUniqueName="[ProductsTable].[Unit_Price].[All]" allUniqueName="[ProductsTable].[Unit_Price].[All]" dimensionUniqueName="[ProductsTable]" displayFolder="" count="0" memberValueDatatype="5" unbalanced="0"/>
    <cacheHierarchy uniqueName="[ProductsTable].[Cost_Price]" caption="Cost_Price" attribute="1" defaultMemberUniqueName="[ProductsTable].[Cost_Price].[All]" allUniqueName="[ProductsTable].[Cost_Price].[All]" dimensionUniqueName="[ProductsTable]" displayFolder="" count="0" memberValueDatatype="5"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Discount_%]" caption="Discount_%" attribute="1" defaultMemberUniqueName="[SALESTABLE].[Discount_%].[All]" allUniqueName="[SALESTABLE].[Discount_%].[All]" dimensionUniqueName="[SALESTABLE]" displayFolder="" count="0" memberValueDatatype="20" unbalanced="0"/>
    <cacheHierarchy uniqueName="[SALESTABLE].[Revenue]" caption="Revenue" attribute="1" defaultMemberUniqueName="[SALESTABLE].[Revenue].[All]" allUniqueName="[SALESTABLE].[Revenue].[All]" dimensionUniqueName="[SALESTABLE]" displayFolder="" count="2" memberValueDatatype="5" unbalanced="0"/>
    <cacheHierarchy uniqueName="[SALESTABLE].[COST]" caption="COST" attribute="1" defaultMemberUniqueName="[SALESTABLE].[COST].[All]" allUniqueName="[SALESTABLE].[COS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MARGIN]" caption="MARGIN" attribute="1" defaultMemberUniqueName="[SALESTABLE].[MARGIN].[All]" allUniqueName="[SALESTABLE].[MARGIN].[All]" dimensionUniqueName="[SALESTABLE]" displayFolder="" count="0"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0"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hidden="1">
      <extLst>
        <ext xmlns:x15="http://schemas.microsoft.com/office/spreadsheetml/2010/11/main" uri="{B97F6D7D-B522-45F9-BDA1-12C45D357490}">
          <x15:cacheHierarchy aggregatedColumn="19"/>
        </ext>
      </extLst>
    </cacheHierarchy>
  </cacheHierarchies>
  <kpis count="0"/>
  <dimensions count="4">
    <dimension name="Cuatomerstable" uniqueName="[Cuatomerstable]" caption="Cuatomerstable"/>
    <dimension measure="1" name="Measures" uniqueName="[Measures]" caption="Measures"/>
    <dimension name="ProductsTable" uniqueName="[ProductsTable]" caption="ProductsTable"/>
    <dimension name="SALESTABLE" uniqueName="[SALESTABLE]" caption="SALESTABLE"/>
  </dimensions>
  <measureGroups count="3">
    <measureGroup name="Cuatomerstable" caption="Cuatomerstable"/>
    <measureGroup name="ProductsTable" caption="ProductsTable"/>
    <measureGroup name="SALESTABLE" caption="SALE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594489351854" backgroundQuery="1" createdVersion="8" refreshedVersion="8" minRefreshableVersion="3" recordCount="0" supportSubquery="1" supportAdvancedDrill="1" xr:uid="{9AE9F6AD-C61D-4F6B-B7DF-907D02A68334}">
  <cacheSource type="external" connectionId="1"/>
  <cacheFields count="2">
    <cacheField name="[Measures].[Average of Revenue]" caption="Average of Revenue" numFmtId="0" hierarchy="31" level="32767"/>
    <cacheField name="[Cuatomerstable].[Region].[Region]" caption="Region" numFmtId="0" hierarchy="2" level="1">
      <sharedItems containsSemiMixedTypes="0" containsNonDate="0" containsString="0"/>
    </cacheField>
  </cacheFields>
  <cacheHierarchies count="32">
    <cacheHierarchy uniqueName="[Cuatomerstable].[Customer_ID]" caption="Customer_ID" attribute="1" defaultMemberUniqueName="[Cuatomerstable].[Customer_ID].[All]" allUniqueName="[Cuatomerstable].[Customer_ID].[All]" dimensionUniqueName="[Cuatomerstable]" displayFolder="" count="0" memberValueDatatype="130" unbalanced="0"/>
    <cacheHierarchy uniqueName="[Cuatomerstable].[Customer_Name]" caption="Customer_Name" attribute="1" defaultMemberUniqueName="[Cuatomerstable].[Customer_Name].[All]" allUniqueName="[Cuatomerstable].[Customer_Name].[All]" dimensionUniqueName="[Cuatomerstable]" displayFolder="" count="0" memberValueDatatype="130" unbalanced="0"/>
    <cacheHierarchy uniqueName="[Cuatomerstable].[Region]" caption="Region" attribute="1" defaultMemberUniqueName="[Cuatomerstable].[Region].[All]" allUniqueName="[Cuatomerstable].[Region].[All]" dimensionUniqueName="[Cuatomerstable]" displayFolder="" count="2" memberValueDatatype="130" unbalanced="0">
      <fieldsUsage count="2">
        <fieldUsage x="-1"/>
        <fieldUsage x="1"/>
      </fieldsUsage>
    </cacheHierarchy>
    <cacheHierarchy uniqueName="[Cuatomerstable].[Segment]" caption="Segment" attribute="1" defaultMemberUniqueName="[Cuatomerstable].[Segment].[All]" allUniqueName="[Cuatomerstable].[Segment].[All]" dimensionUniqueName="[Cuatomerstable]" displayFolder="" count="0" memberValueDatatype="130" unbalanced="0"/>
    <cacheHierarchy uniqueName="[Cuatomerstable].[Signup_Date]" caption="Signup_Date" attribute="1" time="1" defaultMemberUniqueName="[Cuatomerstable].[Signup_Date].[All]" allUniqueName="[Cuatomerstable].[Signup_Date].[All]" dimensionUniqueName="[Cuatomerstable]" displayFolder="" count="0" memberValueDatatype="7" unbalanced="0"/>
    <cacheHierarchy uniqueName="[Cuatomerstable].[Signup_Date (Year)]" caption="Signup_Date (Year)" attribute="1" defaultMemberUniqueName="[Cuatomerstable].[Signup_Date (Year)].[All]" allUniqueName="[Cuatomerstable].[Signup_Date (Year)].[All]" dimensionUniqueName="[Cuatomerstable]" displayFolder="" count="0"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0"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0" memberValueDatatype="130" unbalanced="0"/>
    <cacheHierarchy uniqueName="[ProductsTable].[Product_ID]" caption="Product_ID" attribute="1" defaultMemberUniqueName="[ProductsTable].[Product_ID].[All]" allUniqueName="[ProductsTable].[Product_ID].[All]" dimensionUniqueName="[ProductsTable]" displayFolder="" count="0" memberValueDatatype="130" unbalanced="0"/>
    <cacheHierarchy uniqueName="[ProductsTable].[Product_Name]" caption="Product_Name" attribute="1" defaultMemberUniqueName="[ProductsTable].[Product_Name].[All]" allUniqueName="[ProductsTable].[Product_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Unit_Price]" caption="Unit_Price" attribute="1" defaultMemberUniqueName="[ProductsTable].[Unit_Price].[All]" allUniqueName="[ProductsTable].[Unit_Price].[All]" dimensionUniqueName="[ProductsTable]" displayFolder="" count="0" memberValueDatatype="5" unbalanced="0"/>
    <cacheHierarchy uniqueName="[ProductsTable].[Cost_Price]" caption="Cost_Price" attribute="1" defaultMemberUniqueName="[ProductsTable].[Cost_Price].[All]" allUniqueName="[ProductsTable].[Cost_Price].[All]" dimensionUniqueName="[ProductsTable]" displayFolder="" count="0" memberValueDatatype="5"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Discount_%]" caption="Discount_%" attribute="1" defaultMemberUniqueName="[SALESTABLE].[Discount_%].[All]" allUniqueName="[SALESTABLE].[Discount_%].[All]" dimensionUniqueName="[SALESTABLE]" displayFolder="" count="0" memberValueDatatype="20" unbalanced="0"/>
    <cacheHierarchy uniqueName="[SALESTABLE].[Revenue]" caption="Revenue" attribute="1" defaultMemberUniqueName="[SALESTABLE].[Revenue].[All]" allUniqueName="[SALESTABLE].[Revenue].[All]" dimensionUniqueName="[SALESTABLE]" displayFolder="" count="2" memberValueDatatype="5" unbalanced="0"/>
    <cacheHierarchy uniqueName="[SALESTABLE].[COST]" caption="COST" attribute="1" defaultMemberUniqueName="[SALESTABLE].[COST].[All]" allUniqueName="[SALESTABLE].[COS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MARGIN]" caption="MARGIN" attribute="1" defaultMemberUniqueName="[SALESTABLE].[MARGIN].[All]" allUniqueName="[SALESTABLE].[MARGIN].[All]" dimensionUniqueName="[SALESTABLE]" displayFolder="" count="0"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0"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4">
    <dimension name="Cuatomerstable" uniqueName="[Cuatomerstable]" caption="Cuatomerstable"/>
    <dimension measure="1" name="Measures" uniqueName="[Measures]" caption="Measures"/>
    <dimension name="ProductsTable" uniqueName="[ProductsTable]" caption="ProductsTable"/>
    <dimension name="SALESTABLE" uniqueName="[SALESTABLE]" caption="SALESTABLE"/>
  </dimensions>
  <measureGroups count="3">
    <measureGroup name="Cuatomerstable" caption="Cuatomerstable"/>
    <measureGroup name="ProductsTable" caption="ProductsTable"/>
    <measureGroup name="SALESTABLE" caption="SALE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053272453704" backgroundQuery="1" createdVersion="3" refreshedVersion="8" minRefreshableVersion="3" recordCount="0" supportSubquery="1" supportAdvancedDrill="1" xr:uid="{87CB1A55-9053-456C-8CA4-4FC8D023239F}">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Cuatomerstable].[Customer_ID]" caption="Customer_ID" attribute="1" defaultMemberUniqueName="[Cuatomerstable].[Customer_ID].[All]" allUniqueName="[Cuatomerstable].[Customer_ID].[All]" dimensionUniqueName="[Cuatomerstable]" displayFolder="" count="0" memberValueDatatype="130" unbalanced="0"/>
    <cacheHierarchy uniqueName="[Cuatomerstable].[Customer_Name]" caption="Customer_Name" attribute="1" defaultMemberUniqueName="[Cuatomerstable].[Customer_Name].[All]" allUniqueName="[Cuatomerstable].[Customer_Name].[All]" dimensionUniqueName="[Cuatomerstable]" displayFolder="" count="0" memberValueDatatype="130" unbalanced="0"/>
    <cacheHierarchy uniqueName="[Cuatomerstable].[Region]" caption="Region" attribute="1" defaultMemberUniqueName="[Cuatomerstable].[Region].[All]" allUniqueName="[Cuatomerstable].[Region].[All]" dimensionUniqueName="[Cuatomerstable]" displayFolder="" count="2" memberValueDatatype="130" unbalanced="0"/>
    <cacheHierarchy uniqueName="[Cuatomerstable].[Segment]" caption="Segment" attribute="1" defaultMemberUniqueName="[Cuatomerstable].[Segment].[All]" allUniqueName="[Cuatomerstable].[Segment].[All]" dimensionUniqueName="[Cuatomerstable]" displayFolder="" count="0" memberValueDatatype="130" unbalanced="0"/>
    <cacheHierarchy uniqueName="[Cuatomerstable].[Signup_Date]" caption="Signup_Date" attribute="1" time="1" defaultMemberUniqueName="[Cuatomerstable].[Signup_Date].[All]" allUniqueName="[Cuatomerstable].[Signup_Date].[All]" dimensionUniqueName="[Cuatomerstable]" displayFolder="" count="0" memberValueDatatype="7" unbalanced="0"/>
    <cacheHierarchy uniqueName="[Cuatomerstable].[Signup_Date (Year)]" caption="Signup_Date (Year)" attribute="1" defaultMemberUniqueName="[Cuatomerstable].[Signup_Date (Year)].[All]" allUniqueName="[Cuatomerstable].[Signup_Date (Year)].[All]" dimensionUniqueName="[Cuatomerstable]" displayFolder="" count="0"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0"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0" memberValueDatatype="130" unbalanced="0"/>
    <cacheHierarchy uniqueName="[ProductsTable].[Product_ID]" caption="Product_ID" attribute="1" defaultMemberUniqueName="[ProductsTable].[Product_ID].[All]" allUniqueName="[ProductsTable].[Product_ID].[All]" dimensionUniqueName="[ProductsTable]" displayFolder="" count="0" memberValueDatatype="130" unbalanced="0"/>
    <cacheHierarchy uniqueName="[ProductsTable].[Product_Name]" caption="Product_Name" attribute="1" defaultMemberUniqueName="[ProductsTable].[Product_Name].[All]" allUniqueName="[ProductsTable].[Product_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Unit_Price]" caption="Unit_Price" attribute="1" defaultMemberUniqueName="[ProductsTable].[Unit_Price].[All]" allUniqueName="[ProductsTable].[Unit_Price].[All]" dimensionUniqueName="[ProductsTable]" displayFolder="" count="0" memberValueDatatype="5" unbalanced="0"/>
    <cacheHierarchy uniqueName="[ProductsTable].[Cost_Price]" caption="Cost_Price" attribute="1" defaultMemberUniqueName="[ProductsTable].[Cost_Price].[All]" allUniqueName="[ProductsTable].[Cost_Price].[All]" dimensionUniqueName="[ProductsTable]" displayFolder="" count="0" memberValueDatatype="5"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Discount_%]" caption="Discount_%" attribute="1" defaultMemberUniqueName="[SALESTABLE].[Discount_%].[All]" allUniqueName="[SALESTABLE].[Discount_%].[All]" dimensionUniqueName="[SALESTABLE]" displayFolder="" count="0" memberValueDatatype="20" unbalanced="0"/>
    <cacheHierarchy uniqueName="[SALESTABLE].[Revenue]" caption="Revenue" attribute="1" defaultMemberUniqueName="[SALESTABLE].[Revenue].[All]" allUniqueName="[SALESTABLE].[Revenue].[All]" dimensionUniqueName="[SALESTABLE]" displayFolder="" count="2" memberValueDatatype="5" unbalanced="0"/>
    <cacheHierarchy uniqueName="[SALESTABLE].[COST]" caption="COST" attribute="1" defaultMemberUniqueName="[SALESTABLE].[COST].[All]" allUniqueName="[SALESTABLE].[COS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MARGIN]" caption="MARGIN" attribute="1" defaultMemberUniqueName="[SALESTABLE].[MARGIN].[All]" allUniqueName="[SALESTABLE].[MARGIN].[All]" dimensionUniqueName="[SALESTABLE]" displayFolder="" count="0"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0"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73806073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refreshedDate="46099.053278819447" backgroundQuery="1" createdVersion="3" refreshedVersion="8" minRefreshableVersion="3" recordCount="0" supportSubquery="1" supportAdvancedDrill="1" xr:uid="{B05481D6-F117-4A23-856A-7136F955A8B0}">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Cuatomerstable].[Customer_ID]" caption="Customer_ID" attribute="1" defaultMemberUniqueName="[Cuatomerstable].[Customer_ID].[All]" allUniqueName="[Cuatomerstable].[Customer_ID].[All]" dimensionUniqueName="[Cuatomerstable]" displayFolder="" count="0" memberValueDatatype="130" unbalanced="0"/>
    <cacheHierarchy uniqueName="[Cuatomerstable].[Customer_Name]" caption="Customer_Name" attribute="1" defaultMemberUniqueName="[Cuatomerstable].[Customer_Name].[All]" allUniqueName="[Cuatomerstable].[Customer_Name].[All]" dimensionUniqueName="[Cuatomerstable]" displayFolder="" count="0" memberValueDatatype="130" unbalanced="0"/>
    <cacheHierarchy uniqueName="[Cuatomerstable].[Region]" caption="Region" attribute="1" defaultMemberUniqueName="[Cuatomerstable].[Region].[All]" allUniqueName="[Cuatomerstable].[Region].[All]" dimensionUniqueName="[Cuatomerstable]" displayFolder="" count="0" memberValueDatatype="130" unbalanced="0"/>
    <cacheHierarchy uniqueName="[Cuatomerstable].[Segment]" caption="Segment" attribute="1" defaultMemberUniqueName="[Cuatomerstable].[Segment].[All]" allUniqueName="[Cuatomerstable].[Segment].[All]" dimensionUniqueName="[Cuatomerstable]" displayFolder="" count="2" memberValueDatatype="130" unbalanced="0"/>
    <cacheHierarchy uniqueName="[Cuatomerstable].[Signup_Date]" caption="Signup_Date" attribute="1" time="1" defaultMemberUniqueName="[Cuatomerstable].[Signup_Date].[All]" allUniqueName="[Cuatomerstable].[Signup_Date].[All]" dimensionUniqueName="[Cuatomerstable]" displayFolder="" count="0" memberValueDatatype="7" unbalanced="0"/>
    <cacheHierarchy uniqueName="[Cuatomerstable].[Signup_Date (Year)]" caption="Signup_Date (Year)" attribute="1" defaultMemberUniqueName="[Cuatomerstable].[Signup_Date (Year)].[All]" allUniqueName="[Cuatomerstable].[Signup_Date (Year)].[All]" dimensionUniqueName="[Cuatomerstable]" displayFolder="" count="0" memberValueDatatype="130" unbalanced="0"/>
    <cacheHierarchy uniqueName="[Cuatomerstable].[Signup_Date (Quarter)]" caption="Signup_Date (Quarter)" attribute="1" defaultMemberUniqueName="[Cuatomerstable].[Signup_Date (Quarter)].[All]" allUniqueName="[Cuatomerstable].[Signup_Date (Quarter)].[All]" dimensionUniqueName="[Cuatomerstable]" displayFolder="" count="0" memberValueDatatype="130" unbalanced="0"/>
    <cacheHierarchy uniqueName="[Cuatomerstable].[Signup_Date (Month)]" caption="Signup_Date (Month)" attribute="1" defaultMemberUniqueName="[Cuatomerstable].[Signup_Date (Month)].[All]" allUniqueName="[Cuatomerstable].[Signup_Date (Month)].[All]" dimensionUniqueName="[Cuatomerstable]" displayFolder="" count="0" memberValueDatatype="130" unbalanced="0"/>
    <cacheHierarchy uniqueName="[ProductsTable].[Product_ID]" caption="Product_ID" attribute="1" defaultMemberUniqueName="[ProductsTable].[Product_ID].[All]" allUniqueName="[ProductsTable].[Product_ID].[All]" dimensionUniqueName="[ProductsTable]" displayFolder="" count="0" memberValueDatatype="130" unbalanced="0"/>
    <cacheHierarchy uniqueName="[ProductsTable].[Product_Name]" caption="Product_Name" attribute="1" defaultMemberUniqueName="[ProductsTable].[Product_Name].[All]" allUniqueName="[ProductsTable].[Product_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0" memberValueDatatype="130" unbalanced="0"/>
    <cacheHierarchy uniqueName="[ProductsTable].[Unit_Price]" caption="Unit_Price" attribute="1" defaultMemberUniqueName="[ProductsTable].[Unit_Price].[All]" allUniqueName="[ProductsTable].[Unit_Price].[All]" dimensionUniqueName="[ProductsTable]" displayFolder="" count="0" memberValueDatatype="5" unbalanced="0"/>
    <cacheHierarchy uniqueName="[ProductsTable].[Cost_Price]" caption="Cost_Price" attribute="1" defaultMemberUniqueName="[ProductsTable].[Cost_Price].[All]" allUniqueName="[ProductsTable].[Cost_Price].[All]" dimensionUniqueName="[ProductsTable]" displayFolder="" count="0" memberValueDatatype="5"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Discount_%]" caption="Discount_%" attribute="1" defaultMemberUniqueName="[SALESTABLE].[Discount_%].[All]" allUniqueName="[SALESTABLE].[Discount_%].[All]" dimensionUniqueName="[SALESTABLE]" displayFolder="" count="0" memberValueDatatype="20" unbalanced="0"/>
    <cacheHierarchy uniqueName="[SALESTABLE].[Revenue]" caption="Revenue" attribute="1" defaultMemberUniqueName="[SALESTABLE].[Revenue].[All]" allUniqueName="[SALESTABLE].[Revenue].[All]" dimensionUniqueName="[SALESTABLE]" displayFolder="" count="0" memberValueDatatype="5" unbalanced="0"/>
    <cacheHierarchy uniqueName="[SALESTABLE].[COST]" caption="COST" attribute="1" defaultMemberUniqueName="[SALESTABLE].[COST].[All]" allUniqueName="[SALESTABLE].[COS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MARGIN]" caption="MARGIN" attribute="1" defaultMemberUniqueName="[SALESTABLE].[MARGIN].[All]" allUniqueName="[SALESTABLE].[MARGIN].[All]" dimensionUniqueName="[SALESTABLE]" displayFolder="" count="0" memberValueDatatype="5" unbalanced="0"/>
    <cacheHierarchy uniqueName="[Cuatomerstable].[Signup_Date (Month Index)]" caption="Signup_Date (Month Index)" attribute="1" defaultMemberUniqueName="[Cuatomerstable].[Signup_Date (Month Index)].[All]" allUniqueName="[Cuatomerstable].[Signup_Date (Month Index)].[All]" dimensionUniqueName="[Cuatomerstable]" displayFolder="" count="0" memberValueDatatype="20" unbalanced="0" hidden="1"/>
    <cacheHierarchy uniqueName="[Measures].[__XL_Count SALESTABLE]" caption="__XL_Count SALESTABLE" measure="1" displayFolder="" measureGroup="SALESTABLE" count="0" hidden="1"/>
    <cacheHierarchy uniqueName="[Measures].[__XL_Count ProductsTable]" caption="__XL_Count ProductsTable" measure="1" displayFolder="" measureGroup="ProductsTable" count="0" hidden="1"/>
    <cacheHierarchy uniqueName="[Measures].[__XL_Count Cuatomerstable]" caption="__XL_Count Cuatomerstable" measure="1" displayFolder="" measureGroup="Cuatomerstable" count="0" hidden="1"/>
    <cacheHierarchy uniqueName="[Measures].[__No measures defined]" caption="__No measures defined" measure="1" displayFolder="" count="0" hidden="1"/>
    <cacheHierarchy uniqueName="[Measures].[Sum of Revenue]" caption="Sum of Revenue" measure="1" displayFolder="" measureGroup="SALESTABLE"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ductsTabl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SALESTABL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4891573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8D6EA7-3E44-432E-8E21-5CFB47D8A32E}"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0:B129" firstHeaderRow="1" firstDataRow="1" firstDataCol="1"/>
  <pivotFields count="4">
    <pivotField axis="axisRow" allDrilled="1" subtotalTop="0" showAll="0" dataSourceSort="1" defaultSubtotal="0" defaultAttributeDrillState="1">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1"/>
    <field x="0"/>
  </rowFields>
  <rowItems count="109">
    <i>
      <x/>
    </i>
    <i r="1">
      <x/>
    </i>
    <i r="1">
      <x v="1"/>
    </i>
    <i r="1">
      <x v="2"/>
    </i>
    <i r="1">
      <x v="3"/>
    </i>
    <i r="1">
      <x v="4"/>
    </i>
    <i r="1">
      <x v="5"/>
    </i>
    <i r="1">
      <x v="6"/>
    </i>
    <i r="1">
      <x v="7"/>
    </i>
    <i r="1">
      <x v="8"/>
    </i>
    <i r="1">
      <x v="9"/>
    </i>
    <i r="1">
      <x v="10"/>
    </i>
    <i r="1">
      <x v="11"/>
    </i>
    <i r="1">
      <x v="12"/>
    </i>
    <i>
      <x v="1"/>
    </i>
    <i r="1">
      <x v="13"/>
    </i>
    <i r="1">
      <x v="14"/>
    </i>
    <i r="1">
      <x v="15"/>
    </i>
    <i r="1">
      <x v="16"/>
    </i>
    <i r="1">
      <x v="17"/>
    </i>
    <i r="1">
      <x v="18"/>
    </i>
    <i r="1">
      <x v="19"/>
    </i>
    <i r="1">
      <x v="20"/>
    </i>
    <i r="1">
      <x v="21"/>
    </i>
    <i>
      <x v="2"/>
    </i>
    <i r="1">
      <x v="22"/>
    </i>
    <i r="1">
      <x v="23"/>
    </i>
    <i r="1">
      <x v="24"/>
    </i>
    <i r="1">
      <x v="25"/>
    </i>
    <i r="1">
      <x v="26"/>
    </i>
    <i r="1">
      <x v="27"/>
    </i>
    <i r="1">
      <x v="28"/>
    </i>
    <i r="1">
      <x v="29"/>
    </i>
    <i r="1">
      <x v="30"/>
    </i>
    <i r="1">
      <x v="31"/>
    </i>
    <i r="1">
      <x v="32"/>
    </i>
    <i r="1">
      <x v="33"/>
    </i>
    <i>
      <x v="3"/>
    </i>
    <i r="1">
      <x v="34"/>
    </i>
    <i r="1">
      <x v="35"/>
    </i>
    <i r="1">
      <x v="36"/>
    </i>
    <i r="1">
      <x v="37"/>
    </i>
    <i r="1">
      <x v="38"/>
    </i>
    <i r="1">
      <x v="39"/>
    </i>
    <i r="1">
      <x v="40"/>
    </i>
    <i r="1">
      <x v="41"/>
    </i>
    <i r="1">
      <x v="42"/>
    </i>
    <i>
      <x v="4"/>
    </i>
    <i r="1">
      <x v="43"/>
    </i>
    <i r="1">
      <x v="44"/>
    </i>
    <i r="1">
      <x v="45"/>
    </i>
    <i r="1">
      <x v="46"/>
    </i>
    <i r="1">
      <x v="47"/>
    </i>
    <i r="1">
      <x v="48"/>
    </i>
    <i r="1">
      <x v="49"/>
    </i>
    <i r="1">
      <x v="50"/>
    </i>
    <i r="1">
      <x v="51"/>
    </i>
    <i r="1">
      <x v="52"/>
    </i>
    <i>
      <x v="5"/>
    </i>
    <i r="1">
      <x v="53"/>
    </i>
    <i r="1">
      <x v="54"/>
    </i>
    <i r="1">
      <x v="55"/>
    </i>
    <i r="1">
      <x v="56"/>
    </i>
    <i r="1">
      <x v="57"/>
    </i>
    <i>
      <x v="6"/>
    </i>
    <i r="1">
      <x v="58"/>
    </i>
    <i r="1">
      <x v="59"/>
    </i>
    <i r="1">
      <x v="60"/>
    </i>
    <i r="1">
      <x v="61"/>
    </i>
    <i r="1">
      <x v="62"/>
    </i>
    <i r="1">
      <x v="63"/>
    </i>
    <i>
      <x v="7"/>
    </i>
    <i r="1">
      <x v="64"/>
    </i>
    <i r="1">
      <x v="65"/>
    </i>
    <i r="1">
      <x v="66"/>
    </i>
    <i r="1">
      <x v="67"/>
    </i>
    <i r="1">
      <x v="68"/>
    </i>
    <i r="1">
      <x v="69"/>
    </i>
    <i r="1">
      <x v="70"/>
    </i>
    <i>
      <x v="8"/>
    </i>
    <i r="1">
      <x v="71"/>
    </i>
    <i r="1">
      <x v="72"/>
    </i>
    <i r="1">
      <x v="73"/>
    </i>
    <i r="1">
      <x v="74"/>
    </i>
    <i r="1">
      <x v="75"/>
    </i>
    <i r="1">
      <x v="76"/>
    </i>
    <i r="1">
      <x v="77"/>
    </i>
    <i>
      <x v="9"/>
    </i>
    <i r="1">
      <x v="78"/>
    </i>
    <i r="1">
      <x v="79"/>
    </i>
    <i r="1">
      <x v="80"/>
    </i>
    <i r="1">
      <x v="81"/>
    </i>
    <i r="1">
      <x v="82"/>
    </i>
    <i r="1">
      <x v="83"/>
    </i>
    <i>
      <x v="10"/>
    </i>
    <i r="1">
      <x v="84"/>
    </i>
    <i r="1">
      <x v="85"/>
    </i>
    <i r="1">
      <x v="86"/>
    </i>
    <i r="1">
      <x v="87"/>
    </i>
    <i r="1">
      <x v="88"/>
    </i>
    <i r="1">
      <x v="89"/>
    </i>
    <i>
      <x v="11"/>
    </i>
    <i r="1">
      <x v="90"/>
    </i>
    <i r="1">
      <x v="91"/>
    </i>
    <i r="1">
      <x v="92"/>
    </i>
    <i r="1">
      <x v="93"/>
    </i>
    <i r="1">
      <x v="94"/>
    </i>
    <i r="1">
      <x v="95"/>
    </i>
    <i t="grand">
      <x/>
    </i>
  </rowItems>
  <colItems count="1">
    <i/>
  </colItems>
  <dataFields count="1">
    <dataField name="Sum of Revenue" fld="2" baseField="0" baseItem="0"/>
  </dataFields>
  <chartFormats count="2">
    <chartFormat chart="3"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atomer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C151E-478B-463E-ACF8-B9075BCCC682}"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9:K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atomer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362773-AF13-42FC-A412-AB253BAF0C39}" name="PivotTable9"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A1F2D-2F6B-4DB5-BD81-CBA13D8CA62F}"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9:F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pivotHierarchies count="32">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Table]"/>
        <x15:activeTabTopLevelEntity name="[SALESTABLE]"/>
        <x15:activeTabTopLevelEntity name="[Cuatomer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E9EBA0-559E-4D6C-B2BB-FC2411CC6E39}" name="PivotTable4" cacheId="3" applyNumberFormats="0" applyBorderFormats="0" applyFontFormats="0" applyPatternFormats="0" applyAlignmentFormats="0" applyWidthHeightFormats="1" dataCaption="Values" tag="b7d64b3f-c8d6-4e4a-9bc7-9df252366336" updatedVersion="8" minRefreshableVersion="3" useAutoFormatting="1" subtotalHiddenItems="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 fld="1" baseField="0" baseItem="0"/>
  </dataField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activeTabTopLevelEntity name="[Cuatomers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C48B1C-BBD4-472D-A1B0-026ADEDFEFB6}"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9A79749-B6E4-4275-BD39-70784DC3893C}" sourceName="[Cuatomerstable].[Segment]">
  <pivotTables>
    <pivotTable tabId="8" name="PivotTable1"/>
  </pivotTables>
  <data>
    <olap pivotCacheId="489157394">
      <levels count="2">
        <level uniqueName="[Cuatomerstable].[Segment].[(All)]" sourceCaption="(All)" count="0"/>
        <level uniqueName="[Cuatomerstable].[Segment].[Segment]" sourceCaption="Segment" count="3">
          <ranges>
            <range startItem="0">
              <i n="[Cuatomerstable].[Segment].&amp;[Corporate]" c="Corporate"/>
              <i n="[Cuatomerstable].[Segment].&amp;[Individual]" c="Individual"/>
              <i n="[Cuatomerstable].[Segment].&amp;[SME]" c="SME"/>
            </range>
          </ranges>
        </level>
      </levels>
      <selections count="1">
        <selection n="[Cuatomerstable].[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CCE9325-2A8E-4C53-84F5-590AA6246867}" sourceName="[Cuatomerstable].[Region]">
  <pivotTables>
    <pivotTable tabId="8" name="PivotTable3"/>
    <pivotTable tabId="8" name="PivotTable1"/>
    <pivotTable tabId="8" name="PivotTable2"/>
    <pivotTable tabId="8" name="PivotTable4"/>
    <pivotTable tabId="8" name="PivotTable8"/>
    <pivotTable tabId="8" name="PivotTable9"/>
  </pivotTables>
  <data>
    <olap pivotCacheId="738060737">
      <levels count="2">
        <level uniqueName="[Cuatomerstable].[Region].[(All)]" sourceCaption="(All)" count="0"/>
        <level uniqueName="[Cuatomerstable].[Region].[Region]" sourceCaption="Region" count="4">
          <ranges>
            <range startItem="0">
              <i n="[Cuatomerstable].[Region].&amp;[East]" c="East"/>
              <i n="[Cuatomerstable].[Region].&amp;[North]" c="North"/>
              <i n="[Cuatomerstable].[Region].&amp;[South]" c="South"/>
              <i n="[Cuatomerstable].[Region].&amp;[West]" c="West"/>
            </range>
          </ranges>
        </level>
      </levels>
      <selections count="1">
        <selection n="[Cuatomerstabl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E7870A2-0156-4540-9859-05C9021F2802}" sourceName="[ProductsTable].[Category]">
  <pivotTables>
    <pivotTable tabId="8" name="PivotTable3"/>
    <pivotTable tabId="8" name="PivotTable1"/>
    <pivotTable tabId="8" name="PivotTable2"/>
    <pivotTable tabId="8" name="PivotTable4"/>
    <pivotTable tabId="8" name="PivotTable8"/>
    <pivotTable tabId="8" name="PivotTable9"/>
  </pivotTables>
  <data>
    <olap pivotCacheId="738060737">
      <levels count="2">
        <level uniqueName="[ProductsTable].[Category].[(All)]" sourceCaption="(All)" count="0"/>
        <level uniqueName="[ProductsTable].[Category].[Category]" sourceCaption="Category" count="4">
          <ranges>
            <range startItem="0">
              <i n="[ProductsTable].[Category].&amp;[Accessories]" c="Accessories"/>
              <i n="[ProductsTable].[Category].&amp;[Electronics]" c="Electronics"/>
              <i n="[ProductsTable].[Category].&amp;[Home Appliances]" c="Home Appliances"/>
              <i n="[ProductsTable].[Category].&amp;[Office Supplies]" c="Office Supplies"/>
            </range>
          </ranges>
        </level>
      </levels>
      <selections count="1">
        <selection n="[ProductsTabl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9F834B66-D6BB-4116-84B6-DFBA938454E8}" sourceName="[SALESTABLE].[Revenue]">
  <pivotTables>
    <pivotTable tabId="8" name="PivotTable3"/>
    <pivotTable tabId="8" name="PivotTable1"/>
    <pivotTable tabId="8" name="PivotTable2"/>
    <pivotTable tabId="8" name="PivotTable4"/>
    <pivotTable tabId="8" name="PivotTable8"/>
    <pivotTable tabId="8" name="PivotTable9"/>
  </pivotTables>
  <data>
    <olap pivotCacheId="738060737">
      <levels count="2">
        <level uniqueName="[SALESTABLE].[Revenue].[(All)]" sourceCaption="(All)" count="0"/>
        <level uniqueName="[SALESTABLE].[Revenue].[Revenue]" sourceCaption="Revenue" count="488">
          <ranges>
            <range startItem="0">
              <i n="[SALESTABLE].[Revenue].&amp;[6.076E1]" c="60.76"/>
              <i n="[SALESTABLE].[Revenue].&amp;[6.501E1]" c="65.01"/>
              <i n="[SALESTABLE].[Revenue].&amp;[8.6E1]" c="86"/>
              <i n="[SALESTABLE].[Revenue].&amp;[9.18E1]" c="91.8"/>
              <i n="[SALESTABLE].[Revenue].&amp;[9.207E1]" c="92.07"/>
              <i n="[SALESTABLE].[Revenue].&amp;[1.2152E2]" c="121.52"/>
              <i n="[SALESTABLE].[Revenue].&amp;[1.29E2]" c="129"/>
              <i n="[SALESTABLE].[Revenue].&amp;[1.3002E2]" c="130.02"/>
              <i n="[SALESTABLE].[Revenue].&amp;[1.5883E2]" c="158.83"/>
              <i n="[SALESTABLE].[Revenue].&amp;[1.7314E2]" c="173.14"/>
              <i n="[SALESTABLE].[Revenue].&amp;[1.7776E2]" c="177.76"/>
              <i n="[SALESTABLE].[Revenue].&amp;[1.8228E2]" c="182.28"/>
              <i n="[SALESTABLE].[Revenue].&amp;[1.836E2]" c="183.6"/>
              <i n="[SALESTABLE].[Revenue].&amp;[1.8378E2]" c="183.78"/>
              <i n="[SALESTABLE].[Revenue].&amp;[1.8414E2]" c="184.14"/>
              <i n="[SALESTABLE].[Revenue].&amp;[1.8671E2]" c="186.71"/>
              <i n="[SALESTABLE].[Revenue].&amp;[1.9503000000000003E2]" c="195.03"/>
              <i n="[SALESTABLE].[Revenue].&amp;[2.1403E2]" c="214.03"/>
              <i n="[SALESTABLE].[Revenue].&amp;[2.15E2]" c="215"/>
              <i n="[SALESTABLE].[Revenue].&amp;[2.2963E2]" c="229.63"/>
              <i n="[SALESTABLE].[Revenue].&amp;[2.4304E2]" c="243.04"/>
              <i n="[SALESTABLE].[Revenue].&amp;[2.58E2]" c="258"/>
              <i n="[SALESTABLE].[Revenue].&amp;[2.6004E2]" c="260.04"/>
              <i n="[SALESTABLE].[Revenue].&amp;[2.6838E2]" c="268.38"/>
              <i n="[SALESTABLE].[Revenue].&amp;[2.689E2]" c="268.9"/>
              <i n="[SALESTABLE].[Revenue].&amp;[2.754E2]" c="275.4"/>
              <i n="[SALESTABLE].[Revenue].&amp;[2.7621E2]" c="276.21"/>
              <i n="[SALESTABLE].[Revenue].&amp;[3.01E2]" c="301"/>
              <i n="[SALESTABLE].[Revenue].&amp;[3.038E2]" c="303.8"/>
              <i n="[SALESTABLE].[Revenue].&amp;[3.1021E2]" c="310.21"/>
              <i n="[SALESTABLE].[Revenue].&amp;[3.2505E2]" c="325.05"/>
              <i n="[SALESTABLE].[Revenue].&amp;[3.2875E2]" c="328.75"/>
              <i n="[SALESTABLE].[Revenue].&amp;[3.347E2]" c="334.7"/>
              <i n="[SALESTABLE].[Revenue].&amp;[3.4628E2]" c="346.28"/>
              <i n="[SALESTABLE].[Revenue].&amp;[3.5552E2]" c="355.52"/>
              <i n="[SALESTABLE].[Revenue].&amp;[3.6217E2]" c="362.17"/>
              <i n="[SALESTABLE].[Revenue].&amp;[3.6344E2]" c="363.44"/>
              <i n="[SALESTABLE].[Revenue].&amp;[3.6456E2]" c="364.56"/>
              <i n="[SALESTABLE].[Revenue].&amp;[3.6756E2]" c="367.56"/>
              <i n="[SALESTABLE].[Revenue].&amp;[3.6828E2]" c="368.28"/>
              <i n="[SALESTABLE].[Revenue].&amp;[3.7342E2]" c="373.42"/>
              <i n="[SALESTABLE].[Revenue].&amp;[3.87E2]" c="387"/>
              <i n="[SALESTABLE].[Revenue].&amp;[3.9006000000000006E2]" c="390.06"/>
              <i n="[SALESTABLE].[Revenue].&amp;[4.0257E2]" c="402.57"/>
              <i n="[SALESTABLE].[Revenue].&amp;[4.0932E2]" c="409.32"/>
              <i n="[SALESTABLE].[Revenue].&amp;[4.2532E2]" c="425.32"/>
              <i n="[SALESTABLE].[Revenue].&amp;[4.2548E2]" c="425.48"/>
              <i n="[SALESTABLE].[Revenue].&amp;[4.2575E2]" c="425.75"/>
              <i n="[SALESTABLE].[Revenue].&amp;[4.2806E2]" c="428.06"/>
              <i n="[SALESTABLE].[Revenue].&amp;[4.3E2]" c="430"/>
              <i n="[SALESTABLE].[Revenue].&amp;[4.5507000000000005E2]" c="455.07"/>
              <i n="[SALESTABLE].[Revenue].&amp;[4.5711E2]" c="457.11"/>
              <i n="[SALESTABLE].[Revenue].&amp;[4.59E2]" c="459"/>
              <i n="[SALESTABLE].[Revenue].&amp;[4.5926E2]" c="459.26"/>
              <i n="[SALESTABLE].[Revenue].&amp;[4.6034999999999996E2]" c="460.35"/>
              <i n="[SALESTABLE].[Revenue].&amp;[4.7649E2]" c="476.49"/>
              <i n="[SALESTABLE].[Revenue].&amp;[4.7727E2]" c="477.27"/>
              <i n="[SALESTABLE].[Revenue].&amp;[4.8608E2]" c="486.08"/>
              <i n="[SALESTABLE].[Revenue].&amp;[5.16E2]" c="516"/>
              <i n="[SALESTABLE].[Revenue].&amp;[5.1942E2]" c="519.42"/>
              <i n="[SALESTABLE].[Revenue].&amp;[5.2008E2]" c="520.08"/>
              <i n="[SALESTABLE].[Revenue].&amp;[5.3328E2]" c="533.28"/>
              <i n="[SALESTABLE].[Revenue].&amp;[5.378E2]" c="537.8"/>
              <i n="[SALESTABLE].[Revenue].&amp;[5.4684E2]" c="546.84"/>
              <i n="[SALESTABLE].[Revenue].&amp;[5.508E2]" c="550.8"/>
              <i n="[SALESTABLE].[Revenue].&amp;[5.5134E2]" c="551.34"/>
              <i n="[SALESTABLE].[Revenue].&amp;[5.59E2]" c="559"/>
              <i n="[SALESTABLE].[Revenue].&amp;[5.6013E2]" c="560.13"/>
              <i n="[SALESTABLE].[Revenue].&amp;[5.8509E2]" c="585.09"/>
              <i n="[SALESTABLE].[Revenue].&amp;[6.02E2]" c="602"/>
              <i n="[SALESTABLE].[Revenue].&amp;[6.076E2]" c="607.6"/>
              <i n="[SALESTABLE].[Revenue].&amp;[6.2042E2]" c="620.42"/>
              <i n="[SALESTABLE].[Revenue].&amp;[6.3532E2]" c="635.32"/>
              <i n="[SALESTABLE].[Revenue].&amp;[6.4209E2]" c="642.09"/>
              <i n="[SALESTABLE].[Revenue].&amp;[6.426E2]" c="642.6"/>
              <i n="[SALESTABLE].[Revenue].&amp;[6.4449E2]" c="644.49"/>
              <i n="[SALESTABLE].[Revenue].&amp;[6.45E2]" c="645"/>
              <i n="[SALESTABLE].[Revenue].&amp;[6.575E2]" c="657.5"/>
              <i n="[SALESTABLE].[Revenue].&amp;[6.6836E2]" c="668.36"/>
              <i n="[SALESTABLE].[Revenue].&amp;[6.694E2]" c="669.4"/>
              <i n="[SALESTABLE].[Revenue].&amp;[6.7095E2]" c="670.95"/>
              <i n="[SALESTABLE].[Revenue].&amp;[6.7264E2]" c="672.64"/>
              <i n="[SALESTABLE].[Revenue].&amp;[6.7418E2]" c="674.18"/>
              <i n="[SALESTABLE].[Revenue].&amp;[6.8889E2]" c="688.89"/>
              <i n="[SALESTABLE].[Revenue].&amp;[6.9256E2]" c="692.56"/>
              <i n="[SALESTABLE].[Revenue].&amp;[7.02E2]" c="702"/>
              <i n="[SALESTABLE].[Revenue].&amp;[7.1104E2]" c="711.04"/>
              <i n="[SALESTABLE].[Revenue].&amp;[7.2434E2]" c="724.34"/>
              <i n="[SALESTABLE].[Revenue].&amp;[7.2688E2]" c="726.88"/>
              <i n="[SALESTABLE].[Revenue].&amp;[7.31E2]" c="731"/>
              <i n="[SALESTABLE].[Revenue].&amp;[7.344E2]" c="734.4"/>
              <i n="[SALESTABLE].[Revenue].&amp;[7.3512E2]" c="735.12"/>
              <i n="[SALESTABLE].[Revenue].&amp;[7.4684E2]" c="746.84"/>
              <i n="[SALESTABLE].[Revenue].&amp;[7.74E2]" c="774"/>
              <i n="[SALESTABLE].[Revenue].&amp;[7.801200000000001E2]" c="780.12"/>
              <i n="[SALESTABLE].[Revenue].&amp;[7.941500000000001E2]" c="794.15"/>
              <i n="[SALESTABLE].[Revenue].&amp;[8.066999999999999E2]" c="806.7"/>
              <i n="[SALESTABLE].[Revenue].&amp;[8.17E2]" c="817"/>
              <i n="[SALESTABLE].[Revenue].&amp;[8.1864E2]" c="818.64"/>
              <i n="[SALESTABLE].[Revenue].&amp;[8.261999999999999E2]" c="826.2"/>
              <i n="[SALESTABLE].[Revenue].&amp;[8.286299999999999E2]" c="828.63"/>
              <i n="[SALESTABLE].[Revenue].&amp;[8.3934E2]" c="839.34"/>
              <i n="[SALESTABLE].[Revenue].&amp;[8.451300000000001E2]" c="845.13"/>
              <i n="[SALESTABLE].[Revenue].&amp;[8.5064E2]" c="850.64"/>
              <i n="[SALESTABLE].[Revenue].&amp;[8.5096E2]" c="850.96"/>
              <i n="[SALESTABLE].[Revenue].&amp;[8.515E2]" c="851.5"/>
              <i n="[SALESTABLE].[Revenue].&amp;[8.656999999999999E2]" c="865.7"/>
              <i n="[SALESTABLE].[Revenue].&amp;[8.7036E2]" c="870.36"/>
              <i n="[SALESTABLE].[Revenue].&amp;[8.888E2]" c="888.8"/>
              <i n="[SALESTABLE].[Revenue].&amp;[9.101400000000001E2]" c="910.14"/>
              <i n="[SALESTABLE].[Revenue].&amp;[9.1422E2]" c="914.22"/>
              <i n="[SALESTABLE].[Revenue].&amp;[9.18E2]" c="918"/>
              <i n="[SALESTABLE].[Revenue].&amp;[9.1852E2]" c="918.52"/>
              <i n="[SALESTABLE].[Revenue].&amp;[9.189E2]" c="918.9"/>
              <i n="[SALESTABLE].[Revenue].&amp;[9.206999999999999E2]" c="920.7"/>
              <i n="[SALESTABLE].[Revenue].&amp;[9.306299999999999E2]" c="930.63"/>
              <i n="[SALESTABLE].[Revenue].&amp;[9.335500000000001E2]" c="933.55"/>
              <i n="[SALESTABLE].[Revenue].&amp;[9.393299999999999E2]" c="939.33"/>
              <i n="[SALESTABLE].[Revenue].&amp;[9.5298E2]" c="952.98"/>
              <i n="[SALESTABLE].[Revenue].&amp;[9.5454E2]" c="954.54"/>
              <i n="[SALESTABLE].[Revenue].&amp;[9.7216E2]" c="972.16"/>
              <i n="[SALESTABLE].[Revenue].&amp;[9.751500000000001E2]" c="975.15"/>
              <i n="[SALESTABLE].[Revenue].&amp;[9.8264E2]" c="982.64"/>
              <i n="[SALESTABLE].[Revenue].&amp;[9.8625E2]" c="986.25"/>
              <i n="[SALESTABLE].[Revenue].&amp;[1.0040999999999999E3]" c="1004.1"/>
              <i n="[SALESTABLE].[Revenue].&amp;[1.00896E3]" c="1008.96"/>
              <i n="[SALESTABLE].[Revenue].&amp;[1.01127E3]" c="1011.27"/>
              <i n="[SALESTABLE].[Revenue].&amp;[1.03884E3]" c="1038.84"/>
              <i n="[SALESTABLE].[Revenue].&amp;[1.04016E3]" c="1040.16"/>
              <i n="[SALESTABLE].[Revenue].&amp;[1.053E3]" c="1053"/>
              <i n="[SALESTABLE].[Revenue].&amp;[1.06656E3]" c="1066.56"/>
              <i n="[SALESTABLE].[Revenue].&amp;[1.07352E3]" c="1073.52"/>
              <i n="[SALESTABLE].[Revenue].&amp;[1.0756E3]" c="1075.6"/>
              <i n="[SALESTABLE].[Revenue].&amp;[1.08651E3]" c="1086.51"/>
              <i n="[SALESTABLE].[Revenue].&amp;[1.09032E3]" c="1090.32"/>
              <i n="[SALESTABLE].[Revenue].&amp;[1.09368E3]" c="1093.68"/>
              <i n="[SALESTABLE].[Revenue].&amp;[1.1016E3]" c="1101.6"/>
              <i n="[SALESTABLE].[Revenue].&amp;[1.10268E3]" c="1102.68"/>
              <i n="[SALESTABLE].[Revenue].&amp;[1.10484E3]" c="1104.84"/>
              <i n="[SALESTABLE].[Revenue].&amp;[1.10517E3]" c="1105.17"/>
              <i n="[SALESTABLE].[Revenue].&amp;[1.1118100000000001E3]" c="1111.81"/>
              <i n="[SALESTABLE].[Revenue].&amp;[1.12026E3]" c="1120.26"/>
              <i n="[SALESTABLE].[Revenue].&amp;[1.14815E3]" c="1148.15"/>
              <i n="[SALESTABLE].[Revenue].&amp;[1.15444E3]" c="1154.44"/>
              <i n="[SALESTABLE].[Revenue].&amp;[1.20771E3]" c="1207.71"/>
              <i n="[SALESTABLE].[Revenue].&amp;[1.2152E3]" c="1215.2"/>
              <i n="[SALESTABLE].[Revenue].&amp;[1.23519E3]" c="1235.19"/>
              <i n="[SALESTABLE].[Revenue].&amp;[1.24084E3]" c="1240.84"/>
              <i n="[SALESTABLE].[Revenue].&amp;[1.24432E3]" c="1244.32"/>
              <i n="[SALESTABLE].[Revenue].&amp;[1.25901E3]" c="1259.01"/>
              <i n="[SALESTABLE].[Revenue].&amp;[1.27064E3]" c="1270.64"/>
              <i n="[SALESTABLE].[Revenue].&amp;[1.27644E3]" c="1276.44"/>
              <i n="[SALESTABLE].[Revenue].&amp;[1.27725E3]" c="1277.25"/>
              <i n="[SALESTABLE].[Revenue].&amp;[1.28418E3]" c="1284.18"/>
              <i n="[SALESTABLE].[Revenue].&amp;[1.28646E3]" c="1286.46"/>
              <i n="[SALESTABLE].[Revenue].&amp;[1.28898E3]" c="1288.98"/>
              <i n="[SALESTABLE].[Revenue].&amp;[1.30554E3]" c="1305.54"/>
              <i n="[SALESTABLE].[Revenue].&amp;[1.30697E3]" c="1306.97"/>
              <i n="[SALESTABLE].[Revenue].&amp;[1.315E3]" c="1315"/>
              <i n="[SALESTABLE].[Revenue].&amp;[1.3419E3]" c="1341.9"/>
              <i n="[SALESTABLE].[Revenue].&amp;[1.3445E3]" c="1344.5"/>
              <i n="[SALESTABLE].[Revenue].&amp;[1.34528E3]" c="1345.28"/>
              <i n="[SALESTABLE].[Revenue].&amp;[1.37133E3]" c="1371.33"/>
              <i n="[SALESTABLE].[Revenue].&amp;[1.377E3]" c="1377"/>
              <i n="[SALESTABLE].[Revenue].&amp;[1.37778E3]" c="1377.78"/>
              <i n="[SALESTABLE].[Revenue].&amp;[1.38105E3]" c="1381.05"/>
              <i n="[SALESTABLE].[Revenue].&amp;[1.38512E3]" c="1385.12"/>
              <i n="[SALESTABLE].[Revenue].&amp;[1.404E3]" c="1404"/>
              <i n="[SALESTABLE].[Revenue].&amp;[1.42208E3]" c="1422.08"/>
              <i n="[SALESTABLE].[Revenue].&amp;[1.42947E3]" c="1429.47"/>
              <i n="[SALESTABLE].[Revenue].&amp;[1.43181E3]" c="1431.81"/>
              <i n="[SALESTABLE].[Revenue].&amp;[1.44868E3]" c="1448.68"/>
              <i n="[SALESTABLE].[Revenue].&amp;[1.45376E3]" c="1453.76"/>
              <i n="[SALESTABLE].[Revenue].&amp;[1.47312E3]" c="1473.12"/>
              <i n="[SALESTABLE].[Revenue].&amp;[1.49368E3]" c="1493.68"/>
              <i n="[SALESTABLE].[Revenue].&amp;[1.55105E3]" c="1551.05"/>
              <i n="[SALESTABLE].[Revenue].&amp;[1.5582599999999997E3]" c="1558.26"/>
              <i n="[SALESTABLE].[Revenue].&amp;[1.5606E3]" c="1560.6"/>
              <i n="[SALESTABLE].[Revenue].&amp;[1.5883000000000001E3]" c="1588.3"/>
              <i n="[SALESTABLE].[Revenue].&amp;[1.59984E3]" c="1599.84"/>
              <i n="[SALESTABLE].[Revenue].&amp;[1.6074099999999998E3]" c="1607.41"/>
              <i n="[SALESTABLE].[Revenue].&amp;[1.61028E3]" c="1610.28"/>
              <i n="[SALESTABLE].[Revenue].&amp;[1.6133999999999998E3]" c="1613.4"/>
              <i n="[SALESTABLE].[Revenue].&amp;[1.63728E3]" c="1637.28"/>
              <i n="[SALESTABLE].[Revenue].&amp;[1.64375E3]" c="1643.75"/>
              <i n="[SALESTABLE].[Revenue].&amp;[1.6523999999999998E3]" c="1652.4"/>
              <i n="[SALESTABLE].[Revenue].&amp;[1.65402E3]" c="1654.02"/>
              <i n="[SALESTABLE].[Revenue].&amp;[1.6572599999999997E3]" c="1657.26"/>
              <i n="[SALESTABLE].[Revenue].&amp;[1.6735E3]" c="1673.5"/>
              <i n="[SALESTABLE].[Revenue].&amp;[1.67868E3]" c="1678.68"/>
              <i n="[SALESTABLE].[Revenue].&amp;[1.6816E3]" c="1681.6"/>
              <i n="[SALESTABLE].[Revenue].&amp;[1.6854499999999998E3]" c="1685.45"/>
              <i n="[SALESTABLE].[Revenue].&amp;[1.70192E3]" c="1701.92"/>
              <i n="[SALESTABLE].[Revenue].&amp;[1.703E3]" c="1703"/>
              <i n="[SALESTABLE].[Revenue].&amp;[1.71224E3]" c="1712.24"/>
              <i n="[SALESTABLE].[Revenue].&amp;[1.74072E3]" c="1740.72"/>
              <i n="[SALESTABLE].[Revenue].&amp;[1.74713E3]" c="1747.13"/>
              <i n="[SALESTABLE].[Revenue].&amp;[1.74933E3]" c="1749.33"/>
              <i n="[SALESTABLE].[Revenue].&amp;[1.755E3]" c="1755"/>
              <i n="[SALESTABLE].[Revenue].&amp;[1.7776E3]" c="1777.6"/>
              <i n="[SALESTABLE].[Revenue].&amp;[1.8108500000000001E3]" c="1810.85"/>
              <i n="[SALESTABLE].[Revenue].&amp;[1.8172E3]" c="1817.2"/>
              <i n="[SALESTABLE].[Revenue].&amp;[1.82844E3]" c="1828.44"/>
              <i n="[SALESTABLE].[Revenue].&amp;[1.836E3]" c="1836"/>
              <i n="[SALESTABLE].[Revenue].&amp;[1.83704E3]" c="1837.04"/>
              <i n="[SALESTABLE].[Revenue].&amp;[1.8378E3]" c="1837.8"/>
              <i n="[SALESTABLE].[Revenue].&amp;[1.8413999999999998E3]" c="1841.4"/>
              <i n="[SALESTABLE].[Revenue].&amp;[1.8612599999999997E3]" c="1861.26"/>
              <i n="[SALESTABLE].[Revenue].&amp;[1.8671000000000001E3]" c="1867.1"/>
              <i n="[SALESTABLE].[Revenue].&amp;[1.90596E3]" c="1905.96"/>
              <i n="[SALESTABLE].[Revenue].&amp;[1.90908E3]" c="1909.08"/>
              <i n="[SALESTABLE].[Revenue].&amp;[1.92627E3]" c="1926.27"/>
              <i n="[SALESTABLE].[Revenue].&amp;[1.95536E3]" c="1955.36"/>
              <i n="[SALESTABLE].[Revenue].&amp;[1.96528E3]" c="1965.28"/>
              <i n="[SALESTABLE].[Revenue].&amp;[2.0081999999999998E3]" c="2008.2"/>
              <i n="[SALESTABLE].[Revenue].&amp;[2.01285E3]" c="2012.85"/>
              <i n="[SALESTABLE].[Revenue].&amp;[2.01792E3]" c="2017.92"/>
              <i n="[SALESTABLE].[Revenue].&amp;[2.02254E3]" c="2022.54"/>
              <i n="[SALESTABLE].[Revenue].&amp;[2.0466E3]" c="2046.6"/>
              <i n="[SALESTABLE].[Revenue].&amp;[2.06479E3]" c="2064.79"/>
              <i n="[SALESTABLE].[Revenue].&amp;[2.06667E3]" c="2066.67"/>
              <i n="[SALESTABLE].[Revenue].&amp;[2.07768E3]" c="2077.68"/>
              <i n="[SALESTABLE].[Revenue].&amp;[2.09835E3]" c="2098.35"/>
              <i n="[SALESTABLE].[Revenue].&amp;[2.1274E3]" c="2127.4"/>
              <i n="[SALESTABLE].[Revenue].&amp;[2.12875E3]" c="2128.75"/>
              <i n="[SALESTABLE].[Revenue].&amp;[2.13312E3]" c="2133.12"/>
              <i n="[SALESTABLE].[Revenue].&amp;[2.1403E3]" c="2140.3"/>
              <i n="[SALESTABLE].[Revenue].&amp;[2.14704E3]" c="2147.04"/>
              <i n="[SALESTABLE].[Revenue].&amp;[2.1512E3]" c="2151.2"/>
              <i n="[SALESTABLE].[Revenue].&amp;[2.17147E3]" c="2171.47"/>
              <i n="[SALESTABLE].[Revenue].&amp;[2.17302E3]" c="2173.02"/>
              <i n="[SALESTABLE].[Revenue].&amp;[2.1759E3]" c="2175.9"/>
              <i n="[SALESTABLE].[Revenue].&amp;[2.18064E3]" c="2180.64"/>
              <i n="[SALESTABLE].[Revenue].&amp;[2.20536E3]" c="2205.36"/>
              <i n="[SALESTABLE].[Revenue].&amp;[2.24052E3]" c="2240.52"/>
              <i n="[SALESTABLE].[Revenue].&amp;[2.2508199999999997E3]" c="2250.82"/>
              <i n="[SALESTABLE].[Revenue].&amp;[2.28123E3]" c="2281.23"/>
              <i n="[SALESTABLE].[Revenue].&amp;[2.28555E3]" c="2285.55"/>
              <i n="[SALESTABLE].[Revenue].&amp;[2.2963E3]" c="2296.3"/>
              <i n="[SALESTABLE].[Revenue].&amp;[2.30125E3]" c="2301.25"/>
              <i n="[SALESTABLE].[Revenue].&amp;[2.3429E3]" c="2342.9"/>
              <i n="[SALESTABLE].[Revenue].&amp;[2.35424E3]" c="2354.24"/>
              <i n="[SALESTABLE].[Revenue].&amp;[2.35433E3]" c="2354.33"/>
              <i n="[SALESTABLE].[Revenue].&amp;[2.3596299999999996E3]" c="2359.63"/>
              <i n="[SALESTABLE].[Revenue].&amp;[2.3824500000000003E3]" c="2382.45"/>
              <i n="[SALESTABLE].[Revenue].&amp;[2.38635E3]" c="2386.35"/>
              <i n="[SALESTABLE].[Revenue].&amp;[2.38914E3]" c="2389.14"/>
              <i n="[SALESTABLE].[Revenue].&amp;[2.41542E3]" c="2415.42"/>
              <i n="[SALESTABLE].[Revenue].&amp;[2.42723E3]" c="2427.23"/>
              <i n="[SALESTABLE].[Revenue].&amp;[2.45592E3]" c="2455.92"/>
              <i n="[SALESTABLE].[Revenue].&amp;[2.4566E3]" c="2456.6"/>
              <i n="[SALESTABLE].[Revenue].&amp;[2.457E3]" c="2457"/>
              <i n="[SALESTABLE].[Revenue].&amp;[2.48864E3]" c="2488.64"/>
              <i n="[SALESTABLE].[Revenue].&amp;[2.51802E3]" c="2518.02"/>
              <i n="[SALESTABLE].[Revenue].&amp;[2.52593E3]" c="2525.93"/>
              <i n="[SALESTABLE].[Revenue].&amp;[2.53519E3]" c="2535.19"/>
              <i n="[SALESTABLE].[Revenue].&amp;[2.54961E3]" c="2549.61"/>
              <i n="[SALESTABLE].[Revenue].&amp;[2.55288E3]" c="2552.88"/>
              <i n="[SALESTABLE].[Revenue].&amp;[2.56836E3]" c="2568.36"/>
              <i n="[SALESTABLE].[Revenue].&amp;[2.57292E3]" c="2572.92"/>
              <i n="[SALESTABLE].[Revenue].&amp;[2.61108E3]" c="2611.08"/>
              <i n="[SALESTABLE].[Revenue].&amp;[2.61394E3]" c="2613.94"/>
              <i n="[SALESTABLE].[Revenue].&amp;[2.63E3]" c="2630"/>
              <i n="[SALESTABLE].[Revenue].&amp;[2.6663999999999996E3]" c="2666.4"/>
              <i n="[SALESTABLE].[Revenue].&amp;[2.6838E3]" c="2683.8"/>
              <i n="[SALESTABLE].[Revenue].&amp;[2.69056E3]" c="2690.56"/>
              <i n="[SALESTABLE].[Revenue].&amp;[2.69672E3]" c="2696.72"/>
              <i n="[SALESTABLE].[Revenue].&amp;[2.70011E3]" c="2700.11"/>
              <i n="[SALESTABLE].[Revenue].&amp;[2.74266E3]" c="2742.66"/>
              <i n="[SALESTABLE].[Revenue].&amp;[2.75556E3]" c="2755.56"/>
              <i n="[SALESTABLE].[Revenue].&amp;[2.7567E3]" c="2756.7"/>
              <i n="[SALESTABLE].[Revenue].&amp;[2.78239E3]" c="2782.39"/>
              <i n="[SALESTABLE].[Revenue].&amp;[2.79189E3]" c="2791.89"/>
              <i n="[SALESTABLE].[Revenue].&amp;[2.808E3]" c="2808"/>
              <i n="[SALESTABLE].[Revenue].&amp;[2.84416E3]" c="2844.16"/>
              <i n="[SALESTABLE].[Revenue].&amp;[2.85894E3]" c="2858.94"/>
              <i n="[SALESTABLE].[Revenue].&amp;[2.86524E3]" c="2865.24"/>
              <i n="[SALESTABLE].[Revenue].&amp;[2.89736E3]" c="2897.36"/>
              <i n="[SALESTABLE].[Revenue].&amp;[2.90752E3]" c="2907.52"/>
              <i n="[SALESTABLE].[Revenue].&amp;[2.93769E3]" c="2937.69"/>
              <i n="[SALESTABLE].[Revenue].&amp;[2.94792E3]" c="2947.92"/>
              <i n="[SALESTABLE].[Revenue].&amp;[2.95875E3]" c="2958.75"/>
              <i n="[SALESTABLE].[Revenue].&amp;[2.97836E3]" c="2978.36"/>
              <i n="[SALESTABLE].[Revenue].&amp;[2.98025E3]" c="2980.25"/>
              <i n="[SALESTABLE].[Revenue].&amp;[2.98519E3]" c="2985.19"/>
              <i n="[SALESTABLE].[Revenue].&amp;[2.99642E3]" c="2996.42"/>
              <i n="[SALESTABLE].[Revenue].&amp;[3.0122999999999997E3]" c="3012.3"/>
              <i n="[SALESTABLE].[Revenue].&amp;[3.0177700000000004E3]" c="3017.77"/>
              <i n="[SALESTABLE].[Revenue].&amp;[3.02192E3]" c="3021.92"/>
              <i n="[SALESTABLE].[Revenue].&amp;[3.02688E3]" c="3026.88"/>
              <i n="[SALESTABLE].[Revenue].&amp;[3.03381E3]" c="3033.81"/>
              <i n="[SALESTABLE].[Revenue].&amp;[3.04626E3]" c="3046.26"/>
              <i n="[SALESTABLE].[Revenue].&amp;[3.1021E3]" c="3102.1"/>
              <i n="[SALESTABLE].[Revenue].&amp;[3.1165199999999995E3]" c="3116.52"/>
              <i n="[SALESTABLE].[Revenue].&amp;[3.12426E3]" c="3124.26"/>
              <i n="[SALESTABLE].[Revenue].&amp;[3.159E3]" c="3159"/>
              <i n="[SALESTABLE].[Revenue].&amp;[3.1766000000000003E3]" c="3176.6"/>
              <i n="[SALESTABLE].[Revenue].&amp;[3.19977E3]" c="3199.77"/>
              <i n="[SALESTABLE].[Revenue].&amp;[3.21045E3]" c="3210.45"/>
              <i n="[SALESTABLE].[Revenue].&amp;[3.2148199999999997E3]" c="3214.82"/>
              <i n="[SALESTABLE].[Revenue].&amp;[3.2267999999999997E3]" c="3226.8"/>
              <i n="[SALESTABLE].[Revenue].&amp;[3.25953E3]" c="3259.53"/>
              <i n="[SALESTABLE].[Revenue].&amp;[3.27096E3]" c="3270.96"/>
              <i n="[SALESTABLE].[Revenue].&amp;[3.2875E3]" c="3287.5"/>
              <i n="[SALESTABLE].[Revenue].&amp;[3.28966E3]" c="3289.66"/>
              <i n="[SALESTABLE].[Revenue].&amp;[3.30804E3]" c="3308.04"/>
              <i n="[SALESTABLE].[Revenue].&amp;[3.347E3]" c="3347"/>
              <i n="[SALESTABLE].[Revenue].&amp;[3.35736E3]" c="3357.36"/>
              <i n="[SALESTABLE].[Revenue].&amp;[3.36078E3]" c="3360.78"/>
              <i n="[SALESTABLE].[Revenue].&amp;[3.3632E3]" c="3363.2"/>
              <i n="[SALESTABLE].[Revenue].&amp;[3.3708999999999996E3]" c="3370.9"/>
              <i n="[SALESTABLE].[Revenue].&amp;[3.3774399999999996E3]" c="3377.44"/>
              <i n="[SALESTABLE].[Revenue].&amp;[3.40384E3]" c="3403.84"/>
              <i n="[SALESTABLE].[Revenue].&amp;[3.406E3]" c="3406"/>
              <i n="[SALESTABLE].[Revenue].&amp;[3.41231E3]" c="3412.31"/>
              <i n="[SALESTABLE].[Revenue].&amp;[3.42448E3]" c="3424.48"/>
              <i n="[SALESTABLE].[Revenue].&amp;[3.43924E3]" c="3439.24"/>
              <i n="[SALESTABLE].[Revenue].&amp;[3.44445E3]" c="3444.45"/>
              <i n="[SALESTABLE].[Revenue].&amp;[3.4627999999999997E3]" c="3462.8"/>
              <i n="[SALESTABLE].[Revenue].&amp;[3.48144E3]" c="3481.44"/>
              <i n="[SALESTABLE].[Revenue].&amp;[3.49182E3]" c="3491.82"/>
              <i n="[SALESTABLE].[Revenue].&amp;[3.4957E3]" c="3495.7"/>
              <i n="[SALESTABLE].[Revenue].&amp;[3.51E3]" c="3510"/>
              <i n="[SALESTABLE].[Revenue].&amp;[3.5474900000000002E3]" c="3547.49"/>
              <i n="[SALESTABLE].[Revenue].&amp;[3.61625E3]" c="3616.25"/>
              <i n="[SALESTABLE].[Revenue].&amp;[3.6217000000000003E3]" c="3621.7"/>
              <i n="[SALESTABLE].[Revenue].&amp;[3.6344E3]" c="3634.4"/>
              <i n="[SALESTABLE].[Revenue].&amp;[3.63851E3]" c="3638.51"/>
              <i n="[SALESTABLE].[Revenue].&amp;[3.65688E3]" c="3656.88"/>
              <i n="[SALESTABLE].[Revenue].&amp;[3.67408E3]" c="3674.08"/>
              <i n="[SALESTABLE].[Revenue].&amp;[3.6756E3]" c="3675.6"/>
              <i n="[SALESTABLE].[Revenue].&amp;[3.6817E3]" c="3681.7"/>
              <i n="[SALESTABLE].[Revenue].&amp;[3.68388E3]" c="3683.88"/>
              <i n="[SALESTABLE].[Revenue].&amp;[3.69952E3]" c="3699.52"/>
              <i n="[SALESTABLE].[Revenue].&amp;[3.7225199999999995E3]" c="3722.52"/>
              <i n="[SALESTABLE].[Revenue].&amp;[3.7342000000000003E3]" c="3734.2"/>
              <i n="[SALESTABLE].[Revenue].&amp;[3.7645999999999994E3]" c="3764.6"/>
              <i n="[SALESTABLE].[Revenue].&amp;[3.77703E3]" c="3777.03"/>
              <i n="[SALESTABLE].[Revenue].&amp;[3.82932E3]" c="3829.32"/>
              <i n="[SALESTABLE].[Revenue].&amp;[3.85254E3]" c="3852.54"/>
              <i n="[SALESTABLE].[Revenue].&amp;[3.861E3]" c="3861"/>
              <i n="[SALESTABLE].[Revenue].&amp;[3.90371E3]" c="3903.71"/>
              <i n="[SALESTABLE].[Revenue].&amp;[3.91662E3]" c="3916.62"/>
              <i n="[SALESTABLE].[Revenue].&amp;[3.945E3]" c="3945"/>
              <i n="[SALESTABLE].[Revenue].&amp;[3.9838700000000003E3]" c="3983.87"/>
              <i n="[SALESTABLE].[Revenue].&amp;[3.99784E3]" c="3997.84"/>
              <i n="[SALESTABLE].[Revenue].&amp;[4.0163999999999996E3]" c="4016.4"/>
              <i n="[SALESTABLE].[Revenue].&amp;[4.0327299999999995E3]" c="4032.73"/>
              <i n="[SALESTABLE].[Revenue].&amp;[4.0334999999999995E3]" c="4033.5"/>
              <i n="[SALESTABLE].[Revenue].&amp;[4.03584E3]" c="4035.84"/>
              <i n="[SALESTABLE].[Revenue].&amp;[4.04508E3]" c="4045.08"/>
              <i n="[SALESTABLE].[Revenue].&amp;[4.0932E3]" c="4093.2"/>
              <i n="[SALESTABLE].[Revenue].&amp;[4.11399E3]" c="4113.99"/>
              <i n="[SALESTABLE].[Revenue].&amp;[4.13334E3]" c="4133.34"/>
              <i n="[SALESTABLE].[Revenue].&amp;[4.212E3]" c="4212"/>
              <i n="[SALESTABLE].[Revenue].&amp;[4.2575E3]" c="4257.5"/>
              <i n="[SALESTABLE].[Revenue].&amp;[4.27375E3]" c="4273.75"/>
              <i n="[SALESTABLE].[Revenue].&amp;[4.2806E3]" c="4280.6"/>
              <i n="[SALESTABLE].[Revenue].&amp;[4.29543E3]" c="4295.43"/>
              <i n="[SALESTABLE].[Revenue].&amp;[4.34294E3]" c="4342.94"/>
              <i n="[SALESTABLE].[Revenue].&amp;[4.34604E3]" c="4346.04"/>
              <i n="[SALESTABLE].[Revenue].&amp;[4.351099999999999E3]" c="4351.1"/>
              <i n="[SALESTABLE].[Revenue].&amp;[4.3518E3]" c="4351.8"/>
              <i n="[SALESTABLE].[Revenue].&amp;[4.36128E3]" c="4361.28"/>
              <i n="[SALESTABLE].[Revenue].&amp;[4.36297E3]" c="4362.97"/>
              <i n="[SALESTABLE].[Revenue].&amp;[4.38217E3]" c="4382.17"/>
              <i n="[SALESTABLE].[Revenue].&amp;[4.42188E3]" c="4421.88"/>
              <i n="[SALESTABLE].[Revenue].&amp;[4.5025199999999995E3]" c="4502.52"/>
              <i n="[SALESTABLE].[Revenue].&amp;[4.563E3]" c="4563"/>
              <i n="[SALESTABLE].[Revenue].&amp;[4.5711E3]" c="4571.1"/>
              <i n="[SALESTABLE].[Revenue].&amp;[4.5926E3]" c="4592.6"/>
              <i n="[SALESTABLE].[Revenue].&amp;[4.6025E3]" c="4602.5"/>
              <i n="[SALESTABLE].[Revenue].&amp;[4.61637E3]" c="4616.37"/>
              <i n="[SALESTABLE].[Revenue].&amp;[4.65315E3]" c="4653.15"/>
              <i n="[SALESTABLE].[Revenue].&amp;[4.680280000000001E3]" c="4680.28"/>
              <i n="[SALESTABLE].[Revenue].&amp;[4.68325E3]" c="4683.25"/>
              <i n="[SALESTABLE].[Revenue].&amp;[4.6858E3]" c="4685.8"/>
              <i n="[SALESTABLE].[Revenue].&amp;[4.70821E3]" c="4708.21"/>
              <i n="[SALESTABLE].[Revenue].&amp;[4.719259999999999E3]" c="4719.26"/>
              <i n="[SALESTABLE].[Revenue].&amp;[4.72472E3]" c="4724.72"/>
              <i n="[SALESTABLE].[Revenue].&amp;[4.7727E3]" c="4772.7"/>
              <i n="[SALESTABLE].[Revenue].&amp;[4.7869800000000005E3]" c="4786.98"/>
              <i n="[SALESTABLE].[Revenue].&amp;[4.8402E3]" c="4840.2"/>
              <i n="[SALESTABLE].[Revenue].&amp;[4.91184E3]" c="4911.84"/>
              <i n="[SALESTABLE].[Revenue].&amp;[4.914E3]" c="4914"/>
              <i n="[SALESTABLE].[Revenue].&amp;[4.93125E3]" c="4931.25"/>
              <i n="[SALESTABLE].[Revenue].&amp;[4.96336E3]" c="4963.36"/>
              <i n="[SALESTABLE].[Revenue].&amp;[5.03604E3]" c="5036.04"/>
              <i n="[SALESTABLE].[Revenue].&amp;[5.0448E3]" c="5044.8"/>
              <i n="[SALESTABLE].[Revenue].&amp;[5.056349999999999E3]" c="5056.35"/>
              <i n="[SALESTABLE].[Revenue].&amp;[5.07038E3]" c="5070.38"/>
              <i n="[SALESTABLE].[Revenue].&amp;[5.08816E3]" c="5088.16"/>
              <i n="[SALESTABLE].[Revenue].&amp;[5.10576E3]" c="5105.76"/>
              <i n="[SALESTABLE].[Revenue].&amp;[5.109E3]" c="5109"/>
              <i n="[SALESTABLE].[Revenue].&amp;[5.249969999999999E3]" c="5249.97"/>
              <i n="[SALESTABLE].[Revenue].&amp;[5.26E3]" c="5260"/>
              <i n="[SALESTABLE].[Revenue].&amp;[5.265E3]" c="5265"/>
              <i n="[SALESTABLE].[Revenue].&amp;[5.27357E3]" c="5273.57"/>
              <i n="[SALESTABLE].[Revenue].&amp;[5.32116E3]" c="5321.16"/>
              <i n="[SALESTABLE].[Revenue].&amp;[5.3552E3]" c="5355.2"/>
              <i n="[SALESTABLE].[Revenue].&amp;[5.378E3]" c="5378"/>
              <i n="[SALESTABLE].[Revenue].&amp;[5.38112E3]" c="5381.12"/>
              <i n="[SALESTABLE].[Revenue].&amp;[5.39344E3]" c="5393.44"/>
              <i n="[SALESTABLE].[Revenue].&amp;[5.4045199999999995E3]" c="5404.52"/>
              <i n="[SALESTABLE].[Revenue].&amp;[5.43255E3]" c="5432.55"/>
              <i n="[SALESTABLE].[Revenue].&amp;[5.4516E3]" c="5451.6"/>
              <i n="[SALESTABLE].[Revenue].&amp;[5.48532E3]" c="5485.32"/>
              <i n="[SALESTABLE].[Revenue].&amp;[5.53124E3]" c="5531.24"/>
              <i n="[SALESTABLE].[Revenue].&amp;[5.53475E3]" c="5534.75"/>
              <i n="[SALESTABLE].[Revenue].&amp;[5.58378E3]" c="5583.78"/>
              <i n="[SALESTABLE].[Revenue].&amp;[5.58875E3]" c="5588.75"/>
              <i n="[SALESTABLE].[Revenue].&amp;[5.616E3]" c="5616"/>
              <i n="[SALESTABLE].[Revenue].&amp;[5.65734E3]" c="5657.34"/>
              <i n="[SALESTABLE].[Revenue].&amp;[5.6899E3]" c="5689.9"/>
              <i n="[SALESTABLE].[Revenue].&amp;[5.71744E3]" c="5717.44"/>
              <i n="[SALESTABLE].[Revenue].&amp;[5.72724E3]" c="5727.24"/>
              <i n="[SALESTABLE].[Revenue].&amp;[5.73048E3]" c="5730.48"/>
              <i n="[SALESTABLE].[Revenue].&amp;[5.73053E3]" c="5730.53"/>
              <i n="[SALESTABLE].[Revenue].&amp;[5.79472E3]" c="5794.72"/>
              <i n="[SALESTABLE].[Revenue].&amp;[5.89584E3]" c="5895.84"/>
              <i n="[SALESTABLE].[Revenue].&amp;[5.9175E3]" c="5917.5"/>
              <i n="[SALESTABLE].[Revenue].&amp;[5.94243E3]" c="5942.43"/>
              <i n="[SALESTABLE].[Revenue].&amp;[5.95672E3]" c="5956.72"/>
              <i n="[SALESTABLE].[Revenue].&amp;[5.9605E3]" c="5960.5"/>
              <i n="[SALESTABLE].[Revenue].&amp;[5.967E3]" c="5967"/>
              <i n="[SALESTABLE].[Revenue].&amp;[6.05376E3]" c="6053.76"/>
              <i n="[SALESTABLE].[Revenue].&amp;[6.15689E3]" c="6156.89"/>
              <i n="[SALESTABLE].[Revenue].&amp;[6.2042E3]" c="6204.2"/>
              <i n="[SALESTABLE].[Revenue].&amp;[6.24625E3]" c="6246.25"/>
              <i n="[SALESTABLE].[Revenue].&amp;[6.29505E3]" c="6295.05"/>
              <i n="[SALESTABLE].[Revenue].&amp;[6.3593E3]" c="6359.3"/>
              <i n="[SALESTABLE].[Revenue].&amp;[6.382200000000001E3]" c="6382.2"/>
              <i n="[SALESTABLE].[Revenue].&amp;[6.38625E3]" c="6386.25"/>
              <i n="[SALESTABLE].[Revenue].&amp;[6.38716E3]" c="6387.16"/>
              <i n="[SALESTABLE].[Revenue].&amp;[6.39008E3]" c="6390.08"/>
              <i n="[SALESTABLE].[Revenue].&amp;[6.39954E3]" c="6399.54"/>
              <i n="[SALESTABLE].[Revenue].&amp;[6.404709999999999E3]" c="6404.71"/>
              <i n="[SALESTABLE].[Revenue].&amp;[6.51906E3]" c="6519.06"/>
              <i n="[SALESTABLE].[Revenue].&amp;[6.5277E3]" c="6527.7"/>
              <i n="[SALESTABLE].[Revenue].&amp;[6.54192E3]" c="6541.92"/>
              <i n="[SALESTABLE].[Revenue].&amp;[6.54912E3]" c="6549.12"/>
              <i n="[SALESTABLE].[Revenue].&amp;[6.575E3]" c="6575"/>
              <i n="[SALESTABLE].[Revenue].&amp;[6.669E3]" c="6669"/>
              <i n="[SALESTABLE].[Revenue].&amp;[6.68178E3]" c="6681.78"/>
              <i n="[SALESTABLE].[Revenue].&amp;[6.71472E3]" c="6714.72"/>
              <i n="[SALESTABLE].[Revenue].&amp;[6.7264E3]" c="6726.4"/>
              <i n="[SALESTABLE].[Revenue].&amp;[6.741799999999999E3]" c="6741.8"/>
              <i n="[SALESTABLE].[Revenue].&amp;[6.80768E3]" c="6807.68"/>
              <i n="[SALESTABLE].[Revenue].&amp;[6.812E3]" c="6812"/>
              <i n="[SALESTABLE].[Revenue].&amp;[6.856650000000001E3]" c="6856.65"/>
              <i n="[SALESTABLE].[Revenue].&amp;[6.87848E3]" c="6878.48"/>
              <i n="[SALESTABLE].[Revenue].&amp;[6.90536E3]" c="6905.36"/>
              <i n="[SALESTABLE].[Revenue].&amp;[6.95844E3]" c="6958.44"/>
              <i n="[SALESTABLE].[Revenue].&amp;[7.02E3]" c="7020"/>
              <i n="[SALESTABLE].[Revenue].&amp;[7.13439E3]" c="7134.39"/>
              <i n="[SALESTABLE].[Revenue].&amp;[7.23775E3]" c="7237.75"/>
              <i n="[SALESTABLE].[Revenue].&amp;[7.243400000000001E3]" c="7243.4"/>
              <i n="[SALESTABLE].[Revenue].&amp;[7.2688E3]" c="7268.8"/>
              <i n="[SALESTABLE].[Revenue].&amp;[7.31376E3]" c="7313.76"/>
              <i n="[SALESTABLE].[Revenue].&amp;[7.3698E3]" c="7369.8"/>
              <i n="[SALESTABLE].[Revenue].&amp;[7.39806E3]" c="7398.06"/>
              <i n="[SALESTABLE].[Revenue].&amp;[7.55406E3]" c="7554.06"/>
              <i n="[SALESTABLE].[Revenue].&amp;[7.63632E3]" c="7636.32"/>
              <i n="[SALESTABLE].[Revenue].&amp;[7.65864E3]" c="7658.64"/>
              <i n="[SALESTABLE].[Revenue].&amp;[7.6635E3]" c="7663.5"/>
              <i n="[SALESTABLE].[Revenue].&amp;[7.77087E3]" c="7770.87"/>
              <i n="[SALESTABLE].[Revenue].&amp;[7.77708E3]" c="7777.08"/>
              <i n="[SALESTABLE].[Revenue].&amp;[7.83324E3]" c="7833.24"/>
              <i n="[SALESTABLE].[Revenue].&amp;[7.86112E3]" c="7861.12"/>
              <i n="[SALESTABLE].[Revenue].&amp;[7.9737300000000005E3]" c="7973.73"/>
              <i n="[SALESTABLE].[Revenue].&amp;[8.084120000000001E3]" c="8084.12"/>
              <i n="[SALESTABLE].[Revenue].&amp;[8.08925E3]" c="8089.25"/>
              <i n="[SALESTABLE].[Revenue].&amp;[8.11359E3]" c="8113.59"/>
              <i n="[SALESTABLE].[Revenue].&amp;[8.1864E3]" c="8186.4"/>
              <i n="[SALESTABLE].[Revenue].&amp;[8.22798E3]" c="8227.98"/>
              <i n="[SALESTABLE].[Revenue].&amp;[8.26842E3]" c="8268.42"/>
              <i n="[SALESTABLE].[Revenue].&amp;[8.3934E3]" c="8393.4"/>
              <i n="[SALESTABLE].[Revenue].&amp;[8.5096E3]" c="8509.6"/>
              <i n="[SALESTABLE].[Revenue].&amp;[8.515E3]" c="8515"/>
              <i n="[SALESTABLE].[Revenue].&amp;[8.59086E3]" c="8590.86"/>
              <i n="[SALESTABLE].[Revenue].&amp;[8.68509E3]" c="8685.09"/>
              <i n="[SALESTABLE].[Revenue].&amp;[8.7036E3]" c="8703.6"/>
              <i n="[SALESTABLE].[Revenue].&amp;[8.84376E3]" c="8843.76"/>
              <i n="[SALESTABLE].[Revenue].&amp;[9.06813E3]" c="9068.13"/>
              <i n="[SALESTABLE].[Revenue].&amp;[9.1422E3]" c="9142.2"/>
              <i n="[SALESTABLE].[Revenue].&amp;[9.33508E3]" c="9335.08"/>
              <i n="[SALESTABLE].[Revenue].&amp;[9.5454E3]" c="9545.4"/>
              <i n="[SALESTABLE].[Revenue].&amp;[9.8264E3]" c="9826.4"/>
            </range>
          </ranges>
        </level>
      </levels>
      <selections count="1">
        <selection n="[SALESTABLE].[Revenu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3287D08-BF1A-4009-ACC3-0695A255EA1C}" cache="Slicer_Segment" caption="Segment" level="1" rowHeight="241300"/>
  <slicer name="Region" xr10:uid="{64AD4000-F00A-495C-8B59-A5D681672AE8}" cache="Slicer_Region1" caption="Region" level="1" rowHeight="241300"/>
  <slicer name="Category" xr10:uid="{930BD8DF-D778-43C3-85EF-B0372759EEBF}" cache="Slicer_Category1"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A98440-399A-44F0-AFF1-BD4C414A50EB}" cache="Slicer_Region1" caption="Region" level="1" rowHeight="241300"/>
  <slicer name="Category 1" xr10:uid="{7F1A6AF5-96A0-4FBE-B8A1-BA884ABE6E89}" cache="Slicer_Category1" caption="Category" startItem="1" level="1" rowHeight="241300"/>
  <slicer name="Revenue" xr10:uid="{1345332B-FA96-467D-9D35-4ABD2D87CE21}" cache="Slicer_Revenue" caption="Revenue" startItem="486"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5B34F9-F277-4ABF-A081-0037838BADDC}" name="SALESTABLE" displayName="SALESTABLE" ref="A1:J1001" totalsRowShown="0" headerRowDxfId="8">
  <autoFilter ref="A1:J1001" xr:uid="{D15B34F9-F277-4ABF-A081-0037838BADDC}"/>
  <tableColumns count="10">
    <tableColumn id="1" xr3:uid="{DFA4A564-08EB-49BC-97D9-9331834461B8}" name="Order_ID"/>
    <tableColumn id="2" xr3:uid="{D891F6EA-3404-438F-9F0B-6A106DE6BB5F}" name="Order_Date" dataDxfId="7"/>
    <tableColumn id="3" xr3:uid="{99231533-90BE-4BEF-BEDA-9C116499E5DF}" name="Customer_ID"/>
    <tableColumn id="4" xr3:uid="{1771AD2F-07FB-46CD-9758-BA95C0D90B8A}" name="Product_ID"/>
    <tableColumn id="5" xr3:uid="{C422684B-97F1-4FAB-BA5E-315FD07B177E}" name="Quantity"/>
    <tableColumn id="6" xr3:uid="{2FD78FC2-E408-4036-A4A6-9A825869945D}" name="Discount_%"/>
    <tableColumn id="7" xr3:uid="{C1EEB57E-8455-4E3D-AA2A-4E4576628519}" name="Revenue" dataDxfId="6">
      <calculatedColumnFormula array="1">SALESTABLE[[#This Row],[Quantity]]*_xlfn.XLOOKUP(SALESTABLE[[#This Row],[Product_ID]],ProductsTable[Product_ID],ProductsTable[Unit_Price],WAASIU,0,1)</calculatedColumnFormula>
    </tableColumn>
    <tableColumn id="8" xr3:uid="{DFB3CB78-28A4-4B8E-894F-AA8BA791CF75}" name="COST" dataDxfId="5">
      <calculatedColumnFormula array="1">SALESTABLE[[#This Row],[Quantity]]*_xlfn.XLOOKUP(SALESTABLE[[#This Row],[Product_ID]],ProductsTable[Product_ID],ProductsTable[Cost_Price],WAASIU,0,1)</calculatedColumnFormula>
    </tableColumn>
    <tableColumn id="9" xr3:uid="{1C27AFD5-18CB-47B0-ABEE-6FA8F40A7B2B}" name="PROFIT" dataDxfId="4">
      <calculatedColumnFormula>SALESTABLE[[#This Row],[Revenue]]-SALESTABLE[[#This Row],[COST]]</calculatedColumnFormula>
    </tableColumn>
    <tableColumn id="10" xr3:uid="{09C6988E-2CB9-4BDC-BA16-5D041FFFEB47}" name="MARGIN" dataDxfId="3">
      <calculatedColumnFormula>SALESTABLE[[#This Row],[PROFIT]]/SALESTABLE[[#This Row],[Revenue]]*100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4FD884-832D-4130-BA74-D693373CF1DB}" name="customerstable" displayName="customerstable" ref="A1:E101" totalsRowShown="0" headerRowDxfId="2">
  <autoFilter ref="A1:E101" xr:uid="{C44FD884-832D-4130-BA74-D693373CF1DB}"/>
  <tableColumns count="5">
    <tableColumn id="1" xr3:uid="{7D35E568-13ED-407A-80BB-090B95F22C3A}" name="Customer_ID"/>
    <tableColumn id="2" xr3:uid="{3C4ABDC0-60B2-4F0E-9E5A-6D2F44365E9F}" name="Customer_Name"/>
    <tableColumn id="3" xr3:uid="{61ADFFB1-97B4-4FDA-BECA-1ABE91FE0B7D}" name="Region"/>
    <tableColumn id="4" xr3:uid="{05B8F755-FA4B-4699-B2AD-D48E02F97220}" name="Segment"/>
    <tableColumn id="5" xr3:uid="{933266F2-C8BA-46B1-96B0-724BD005659A}" name="Signup_Date" dataDxfId="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D22C26-8490-4585-9BB1-41C15E29B588}" name="ProductsTable" displayName="ProductsTable" ref="A1:E31" totalsRowShown="0" headerRowDxfId="0">
  <autoFilter ref="A1:E31" xr:uid="{CAD22C26-8490-4585-9BB1-41C15E29B588}"/>
  <tableColumns count="5">
    <tableColumn id="1" xr3:uid="{DD0775F5-56F6-4B4C-9B0A-428C010F29F0}" name="Product_ID"/>
    <tableColumn id="2" xr3:uid="{423B59C0-A718-47AB-8C7E-9161581146C1}" name="Product_Name"/>
    <tableColumn id="3" xr3:uid="{1C498004-01A7-425A-9AC8-96D22B07AEF7}" name="Category"/>
    <tableColumn id="4" xr3:uid="{BE15A2C0-D779-4C8A-8C99-5C391741EF02}" name="Unit_Price"/>
    <tableColumn id="5" xr3:uid="{27A0E8BA-B327-43F8-B7EF-54AC9D6F9021}" name="Cost_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22286-97D6-48A2-9B60-D20FF22B3297}">
  <dimension ref="A3:K129"/>
  <sheetViews>
    <sheetView tabSelected="1" zoomScaleNormal="100" workbookViewId="0">
      <selection activeCell="A8" sqref="A8:B8"/>
      <pivotSelection pane="bottomRight" showHeader="1" extendable="1" axis="axisRow" start="4" max="5" activeRow="7" previousRow="7" click="1" r:id="rId5">
        <pivotArea dataOnly="0" grandRow="1" fieldPosition="0"/>
      </pivotSelection>
    </sheetView>
  </sheetViews>
  <sheetFormatPr defaultRowHeight="14.5" x14ac:dyDescent="0.35"/>
  <cols>
    <col min="1" max="1" width="17.54296875" bestFit="1" customWidth="1"/>
    <col min="2" max="2" width="14.36328125" bestFit="1" customWidth="1"/>
    <col min="3" max="3" width="5.81640625" bestFit="1" customWidth="1"/>
    <col min="4" max="4" width="2.81640625" bestFit="1" customWidth="1"/>
    <col min="5" max="5" width="15.36328125" bestFit="1" customWidth="1"/>
    <col min="6" max="6" width="14.36328125" bestFit="1" customWidth="1"/>
    <col min="7" max="7" width="5.81640625" bestFit="1" customWidth="1"/>
    <col min="8" max="8" width="2.81640625" bestFit="1" customWidth="1"/>
    <col min="9" max="9" width="4.81640625" bestFit="1" customWidth="1"/>
    <col min="10" max="10" width="12.36328125" bestFit="1" customWidth="1"/>
    <col min="11" max="11" width="14.36328125" bestFit="1" customWidth="1"/>
    <col min="12" max="12" width="3.81640625" bestFit="1" customWidth="1"/>
    <col min="13" max="17" width="6.81640625" bestFit="1" customWidth="1"/>
    <col min="18" max="18" width="5.81640625" bestFit="1" customWidth="1"/>
    <col min="19" max="23" width="6.81640625" bestFit="1" customWidth="1"/>
    <col min="24" max="24" width="3.81640625" bestFit="1" customWidth="1"/>
    <col min="25" max="26" width="6.81640625" bestFit="1" customWidth="1"/>
    <col min="27" max="27" width="3.81640625" bestFit="1" customWidth="1"/>
    <col min="28" max="29" width="6.81640625" bestFit="1" customWidth="1"/>
    <col min="30" max="31" width="5.81640625" bestFit="1" customWidth="1"/>
    <col min="32" max="32" width="6.81640625" bestFit="1" customWidth="1"/>
    <col min="33" max="33" width="3.81640625" bestFit="1" customWidth="1"/>
    <col min="34" max="34" width="5.81640625" bestFit="1" customWidth="1"/>
    <col min="35" max="37" width="6.81640625" bestFit="1" customWidth="1"/>
    <col min="38" max="38" width="5.81640625" bestFit="1" customWidth="1"/>
    <col min="39" max="46" width="6.81640625" bestFit="1" customWidth="1"/>
    <col min="47" max="47" width="3.81640625" bestFit="1" customWidth="1"/>
    <col min="48" max="54" width="6.81640625" bestFit="1" customWidth="1"/>
    <col min="55" max="55" width="3.81640625" bestFit="1" customWidth="1"/>
    <col min="56" max="57" width="6.81640625" bestFit="1" customWidth="1"/>
    <col min="58" max="58" width="3.81640625" bestFit="1" customWidth="1"/>
    <col min="59" max="63" width="6.81640625" bestFit="1" customWidth="1"/>
    <col min="64" max="64" width="3.81640625" bestFit="1" customWidth="1"/>
    <col min="65" max="67" width="6.81640625" bestFit="1" customWidth="1"/>
    <col min="68" max="68" width="5.81640625" bestFit="1" customWidth="1"/>
    <col min="69" max="69" width="6.81640625" bestFit="1" customWidth="1"/>
    <col min="70" max="70" width="5.81640625" bestFit="1" customWidth="1"/>
    <col min="71" max="71" width="6.81640625" bestFit="1" customWidth="1"/>
    <col min="72" max="72" width="3.81640625" bestFit="1" customWidth="1"/>
    <col min="73" max="74" width="6.81640625" bestFit="1" customWidth="1"/>
    <col min="75" max="75" width="3.81640625" bestFit="1" customWidth="1"/>
    <col min="76" max="76" width="5.81640625" bestFit="1" customWidth="1"/>
    <col min="77" max="79" width="6.81640625" bestFit="1" customWidth="1"/>
    <col min="80" max="80" width="5.81640625" bestFit="1" customWidth="1"/>
    <col min="81" max="81" width="6.81640625" bestFit="1" customWidth="1"/>
    <col min="82" max="82" width="3.81640625" bestFit="1" customWidth="1"/>
    <col min="83" max="83" width="5.81640625" bestFit="1" customWidth="1"/>
    <col min="84" max="84" width="6.81640625" bestFit="1" customWidth="1"/>
    <col min="85" max="85" width="5.81640625" bestFit="1" customWidth="1"/>
    <col min="86" max="90" width="6.81640625" bestFit="1" customWidth="1"/>
    <col min="91" max="91" width="3.81640625" bestFit="1" customWidth="1"/>
    <col min="92" max="94" width="6.81640625" bestFit="1" customWidth="1"/>
    <col min="95" max="95" width="3.81640625" bestFit="1" customWidth="1"/>
    <col min="96" max="96" width="5.81640625" bestFit="1" customWidth="1"/>
    <col min="97" max="98" width="6.81640625" bestFit="1" customWidth="1"/>
    <col min="99" max="99" width="3.81640625" bestFit="1" customWidth="1"/>
    <col min="100" max="101" width="6.81640625" bestFit="1" customWidth="1"/>
    <col min="102" max="102" width="5.81640625" bestFit="1" customWidth="1"/>
    <col min="103" max="103" width="3.81640625" bestFit="1" customWidth="1"/>
    <col min="104" max="104" width="6.81640625" bestFit="1" customWidth="1"/>
    <col min="105" max="105" width="5.81640625" bestFit="1" customWidth="1"/>
    <col min="106" max="110" width="6.81640625" bestFit="1" customWidth="1"/>
    <col min="111" max="112" width="5.81640625" bestFit="1" customWidth="1"/>
    <col min="113" max="113" width="6.81640625" bestFit="1" customWidth="1"/>
    <col min="114" max="114" width="5.81640625" bestFit="1" customWidth="1"/>
    <col min="115" max="116" width="6.81640625" bestFit="1" customWidth="1"/>
    <col min="117" max="117" width="3.81640625" bestFit="1" customWidth="1"/>
    <col min="118" max="118" width="6.81640625" bestFit="1" customWidth="1"/>
    <col min="119" max="120" width="5.81640625" bestFit="1" customWidth="1"/>
    <col min="121" max="130" width="6.81640625" bestFit="1" customWidth="1"/>
    <col min="131" max="134" width="7.81640625" bestFit="1" customWidth="1"/>
    <col min="135" max="135" width="4.81640625" bestFit="1" customWidth="1"/>
    <col min="136" max="137" width="7.81640625" bestFit="1" customWidth="1"/>
    <col min="138" max="138" width="6.81640625" bestFit="1" customWidth="1"/>
    <col min="139" max="141" width="7.81640625" bestFit="1" customWidth="1"/>
    <col min="142" max="142" width="6.81640625" bestFit="1" customWidth="1"/>
    <col min="143" max="150" width="7.81640625" bestFit="1" customWidth="1"/>
    <col min="151" max="151" width="6.81640625" bestFit="1" customWidth="1"/>
    <col min="152" max="163" width="7.81640625" bestFit="1" customWidth="1"/>
    <col min="164" max="164" width="4.81640625" bestFit="1" customWidth="1"/>
    <col min="165" max="166" width="6.81640625" bestFit="1" customWidth="1"/>
    <col min="167" max="168" width="7.81640625" bestFit="1" customWidth="1"/>
    <col min="169" max="169" width="4.81640625" bestFit="1" customWidth="1"/>
    <col min="170" max="172" width="7.81640625" bestFit="1" customWidth="1"/>
    <col min="173" max="173" width="4.81640625" bestFit="1" customWidth="1"/>
    <col min="174" max="182" width="7.81640625" bestFit="1" customWidth="1"/>
    <col min="183" max="184" width="6.81640625" bestFit="1" customWidth="1"/>
    <col min="185" max="187" width="7.81640625" bestFit="1" customWidth="1"/>
    <col min="188" max="188" width="6.81640625" bestFit="1" customWidth="1"/>
    <col min="189" max="190" width="7.81640625" bestFit="1" customWidth="1"/>
    <col min="191" max="191" width="6.81640625" bestFit="1" customWidth="1"/>
    <col min="192" max="193" width="7.81640625" bestFit="1" customWidth="1"/>
    <col min="194" max="194" width="6.81640625" bestFit="1" customWidth="1"/>
    <col min="195" max="195" width="7.81640625" bestFit="1" customWidth="1"/>
    <col min="196" max="196" width="6.81640625" bestFit="1" customWidth="1"/>
    <col min="197" max="198" width="7.81640625" bestFit="1" customWidth="1"/>
    <col min="199" max="199" width="4.81640625" bestFit="1" customWidth="1"/>
    <col min="200" max="203" width="7.81640625" bestFit="1" customWidth="1"/>
    <col min="204" max="204" width="4.81640625" bestFit="1" customWidth="1"/>
    <col min="205" max="205" width="6.81640625" bestFit="1" customWidth="1"/>
    <col min="206" max="206" width="7.81640625" bestFit="1" customWidth="1"/>
    <col min="207" max="207" width="6.81640625" bestFit="1" customWidth="1"/>
    <col min="208" max="208" width="7.81640625" bestFit="1" customWidth="1"/>
    <col min="209" max="209" width="4.81640625" bestFit="1" customWidth="1"/>
    <col min="210" max="210" width="7.81640625" bestFit="1" customWidth="1"/>
    <col min="211" max="212" width="6.81640625" bestFit="1" customWidth="1"/>
    <col min="213" max="213" width="7.81640625" bestFit="1" customWidth="1"/>
    <col min="214" max="214" width="6.81640625" bestFit="1" customWidth="1"/>
    <col min="215" max="219" width="7.81640625" bestFit="1" customWidth="1"/>
    <col min="220" max="220" width="6.81640625" bestFit="1" customWidth="1"/>
    <col min="221" max="223" width="7.81640625" bestFit="1" customWidth="1"/>
    <col min="224" max="224" width="6.81640625" bestFit="1" customWidth="1"/>
    <col min="225" max="228" width="7.81640625" bestFit="1" customWidth="1"/>
    <col min="229" max="229" width="6.81640625" bestFit="1" customWidth="1"/>
    <col min="230" max="231" width="7.81640625" bestFit="1" customWidth="1"/>
    <col min="232" max="232" width="6.81640625" bestFit="1" customWidth="1"/>
    <col min="233" max="233" width="7.81640625" bestFit="1" customWidth="1"/>
    <col min="234" max="234" width="6.81640625" bestFit="1" customWidth="1"/>
    <col min="235" max="236" width="7.81640625" bestFit="1" customWidth="1"/>
    <col min="237" max="237" width="6.81640625" bestFit="1" customWidth="1"/>
    <col min="238" max="243" width="7.81640625" bestFit="1" customWidth="1"/>
    <col min="244" max="244" width="6.81640625" bestFit="1" customWidth="1"/>
    <col min="245" max="245" width="7.81640625" bestFit="1" customWidth="1"/>
    <col min="246" max="246" width="6.81640625" bestFit="1" customWidth="1"/>
    <col min="247" max="255" width="7.81640625" bestFit="1" customWidth="1"/>
    <col min="256" max="256" width="6.81640625" bestFit="1" customWidth="1"/>
    <col min="257" max="257" width="4.81640625" bestFit="1" customWidth="1"/>
    <col min="258" max="267" width="7.81640625" bestFit="1" customWidth="1"/>
    <col min="268" max="268" width="4.81640625" bestFit="1" customWidth="1"/>
    <col min="269" max="270" width="6.81640625" bestFit="1" customWidth="1"/>
    <col min="271" max="275" width="7.81640625" bestFit="1" customWidth="1"/>
    <col min="276" max="276" width="6.81640625" bestFit="1" customWidth="1"/>
    <col min="277" max="278" width="7.81640625" bestFit="1" customWidth="1"/>
    <col min="279" max="279" width="4.81640625" bestFit="1" customWidth="1"/>
    <col min="280" max="291" width="7.81640625" bestFit="1" customWidth="1"/>
    <col min="292" max="292" width="6.81640625" bestFit="1" customWidth="1"/>
    <col min="293" max="297" width="7.81640625" bestFit="1" customWidth="1"/>
    <col min="298" max="298" width="6.81640625" bestFit="1" customWidth="1"/>
    <col min="299" max="300" width="7.81640625" bestFit="1" customWidth="1"/>
    <col min="301" max="301" width="4.81640625" bestFit="1" customWidth="1"/>
    <col min="302" max="302" width="6.81640625" bestFit="1" customWidth="1"/>
    <col min="303" max="305" width="7.81640625" bestFit="1" customWidth="1"/>
    <col min="306" max="306" width="6.81640625" bestFit="1" customWidth="1"/>
    <col min="307" max="308" width="7.81640625" bestFit="1" customWidth="1"/>
    <col min="309" max="309" width="6.81640625" bestFit="1" customWidth="1"/>
    <col min="310" max="311" width="7.81640625" bestFit="1" customWidth="1"/>
    <col min="312" max="312" width="4.81640625" bestFit="1" customWidth="1"/>
    <col min="313" max="314" width="7.81640625" bestFit="1" customWidth="1"/>
    <col min="315" max="316" width="6.81640625" bestFit="1" customWidth="1"/>
    <col min="317" max="318" width="7.81640625" bestFit="1" customWidth="1"/>
    <col min="319" max="319" width="4.81640625" bestFit="1" customWidth="1"/>
    <col min="320" max="323" width="7.81640625" bestFit="1" customWidth="1"/>
    <col min="324" max="324" width="6.81640625" bestFit="1" customWidth="1"/>
    <col min="325" max="326" width="7.81640625" bestFit="1" customWidth="1"/>
    <col min="327" max="327" width="6.81640625" bestFit="1" customWidth="1"/>
    <col min="328" max="328" width="4.81640625" bestFit="1" customWidth="1"/>
    <col min="329" max="330" width="7.81640625" bestFit="1" customWidth="1"/>
    <col min="331" max="332" width="6.81640625" bestFit="1" customWidth="1"/>
    <col min="333" max="335" width="7.81640625" bestFit="1" customWidth="1"/>
    <col min="336" max="337" width="6.81640625" bestFit="1" customWidth="1"/>
    <col min="338" max="340" width="7.81640625" bestFit="1" customWidth="1"/>
    <col min="341" max="342" width="6.81640625" bestFit="1" customWidth="1"/>
    <col min="343" max="345" width="7.81640625" bestFit="1" customWidth="1"/>
    <col min="346" max="346" width="4.81640625" bestFit="1" customWidth="1"/>
    <col min="347" max="348" width="7.81640625" bestFit="1" customWidth="1"/>
    <col min="349" max="349" width="4.81640625" bestFit="1" customWidth="1"/>
    <col min="350" max="351" width="7.81640625" bestFit="1" customWidth="1"/>
    <col min="352" max="352" width="6.81640625" bestFit="1" customWidth="1"/>
    <col min="353" max="353" width="7.81640625" bestFit="1" customWidth="1"/>
    <col min="354" max="354" width="6.81640625" bestFit="1" customWidth="1"/>
    <col min="355" max="356" width="7.81640625" bestFit="1" customWidth="1"/>
    <col min="357" max="357" width="6.81640625" bestFit="1" customWidth="1"/>
    <col min="358" max="359" width="7.81640625" bestFit="1" customWidth="1"/>
    <col min="360" max="360" width="4.81640625" bestFit="1" customWidth="1"/>
    <col min="361" max="361" width="6.81640625" bestFit="1" customWidth="1"/>
    <col min="362" max="362" width="7.81640625" bestFit="1" customWidth="1"/>
    <col min="363" max="363" width="6.81640625" bestFit="1" customWidth="1"/>
    <col min="364" max="366" width="7.81640625" bestFit="1" customWidth="1"/>
    <col min="367" max="368" width="6.81640625" bestFit="1" customWidth="1"/>
    <col min="369" max="373" width="7.81640625" bestFit="1" customWidth="1"/>
    <col min="374" max="374" width="4.81640625" bestFit="1" customWidth="1"/>
    <col min="375" max="377" width="6.81640625" bestFit="1" customWidth="1"/>
    <col min="378" max="381" width="7.81640625" bestFit="1" customWidth="1"/>
    <col min="382" max="382" width="6.81640625" bestFit="1" customWidth="1"/>
    <col min="383" max="385" width="7.81640625" bestFit="1" customWidth="1"/>
    <col min="386" max="386" width="6.81640625" bestFit="1" customWidth="1"/>
    <col min="387" max="387" width="7.81640625" bestFit="1" customWidth="1"/>
    <col min="388" max="388" width="6.81640625" bestFit="1" customWidth="1"/>
    <col min="389" max="389" width="7.81640625" bestFit="1" customWidth="1"/>
    <col min="390" max="390" width="4.81640625" bestFit="1" customWidth="1"/>
    <col min="391" max="393" width="7.81640625" bestFit="1" customWidth="1"/>
    <col min="394" max="394" width="6.81640625" bestFit="1" customWidth="1"/>
    <col min="395" max="398" width="7.81640625" bestFit="1" customWidth="1"/>
    <col min="399" max="399" width="4.81640625" bestFit="1" customWidth="1"/>
    <col min="400" max="400" width="7.81640625" bestFit="1" customWidth="1"/>
    <col min="401" max="402" width="4.81640625" bestFit="1" customWidth="1"/>
    <col min="403" max="404" width="7.81640625" bestFit="1" customWidth="1"/>
    <col min="405" max="405" width="6.81640625" bestFit="1" customWidth="1"/>
    <col min="406" max="406" width="4.81640625" bestFit="1" customWidth="1"/>
    <col min="407" max="410" width="7.81640625" bestFit="1" customWidth="1"/>
    <col min="411" max="411" width="6.81640625" bestFit="1" customWidth="1"/>
    <col min="412" max="416" width="7.81640625" bestFit="1" customWidth="1"/>
    <col min="417" max="417" width="4.81640625" bestFit="1" customWidth="1"/>
    <col min="418" max="418" width="7.81640625" bestFit="1" customWidth="1"/>
    <col min="419" max="419" width="6.81640625" bestFit="1" customWidth="1"/>
    <col min="420" max="425" width="7.81640625" bestFit="1" customWidth="1"/>
    <col min="426" max="426" width="6.81640625" bestFit="1" customWidth="1"/>
    <col min="427" max="428" width="7.81640625" bestFit="1" customWidth="1"/>
    <col min="429" max="429" width="6.81640625" bestFit="1" customWidth="1"/>
    <col min="430" max="430" width="4.81640625" bestFit="1" customWidth="1"/>
    <col min="431" max="432" width="7.81640625" bestFit="1" customWidth="1"/>
    <col min="433" max="433" width="6.81640625" bestFit="1" customWidth="1"/>
    <col min="434" max="435" width="7.81640625" bestFit="1" customWidth="1"/>
    <col min="436" max="437" width="6.81640625" bestFit="1" customWidth="1"/>
    <col min="438" max="443" width="7.81640625" bestFit="1" customWidth="1"/>
    <col min="444" max="444" width="6.81640625" bestFit="1" customWidth="1"/>
    <col min="445" max="446" width="7.81640625" bestFit="1" customWidth="1"/>
    <col min="447" max="448" width="4.81640625" bestFit="1" customWidth="1"/>
    <col min="449" max="450" width="7.81640625" bestFit="1" customWidth="1"/>
    <col min="451" max="452" width="6.81640625" bestFit="1" customWidth="1"/>
    <col min="453" max="453" width="7.81640625" bestFit="1" customWidth="1"/>
    <col min="454" max="454" width="4.81640625" bestFit="1" customWidth="1"/>
    <col min="455" max="458" width="7.81640625" bestFit="1" customWidth="1"/>
    <col min="459" max="459" width="4.81640625" bestFit="1" customWidth="1"/>
    <col min="460" max="461" width="7.81640625" bestFit="1" customWidth="1"/>
    <col min="462" max="463" width="6.81640625" bestFit="1" customWidth="1"/>
    <col min="464" max="464" width="7.81640625" bestFit="1" customWidth="1"/>
    <col min="465" max="465" width="6.81640625" bestFit="1" customWidth="1"/>
    <col min="466" max="469" width="7.81640625" bestFit="1" customWidth="1"/>
    <col min="470" max="470" width="6.81640625" bestFit="1" customWidth="1"/>
    <col min="471" max="478" width="7.81640625" bestFit="1" customWidth="1"/>
    <col min="479" max="479" width="6.81640625" bestFit="1" customWidth="1"/>
    <col min="480" max="481" width="7.81640625" bestFit="1" customWidth="1"/>
    <col min="482" max="483" width="6.81640625" bestFit="1" customWidth="1"/>
    <col min="484" max="484" width="4.81640625" bestFit="1" customWidth="1"/>
    <col min="485" max="486" width="7.81640625" bestFit="1" customWidth="1"/>
    <col min="487" max="487" width="6.81640625" bestFit="1" customWidth="1"/>
    <col min="488" max="489" width="7.81640625" bestFit="1" customWidth="1"/>
    <col min="490" max="490" width="6.81640625" bestFit="1" customWidth="1"/>
    <col min="491" max="491" width="7.81640625" bestFit="1" customWidth="1"/>
    <col min="492" max="493" width="6.81640625" bestFit="1" customWidth="1"/>
    <col min="494" max="494" width="10.7265625" bestFit="1" customWidth="1"/>
  </cols>
  <sheetData>
    <row r="3" spans="1:11" x14ac:dyDescent="0.35">
      <c r="A3" s="5" t="s">
        <v>1317</v>
      </c>
      <c r="B3" t="s">
        <v>1318</v>
      </c>
    </row>
    <row r="4" spans="1:11" x14ac:dyDescent="0.35">
      <c r="A4" s="6" t="s">
        <v>1150</v>
      </c>
      <c r="B4">
        <v>700745.01</v>
      </c>
    </row>
    <row r="5" spans="1:11" x14ac:dyDescent="0.35">
      <c r="A5" s="6" t="s">
        <v>1144</v>
      </c>
      <c r="B5">
        <v>649759.02000000037</v>
      </c>
    </row>
    <row r="6" spans="1:11" x14ac:dyDescent="0.35">
      <c r="A6" s="6" t="s">
        <v>1141</v>
      </c>
      <c r="B6">
        <v>759981.6800000004</v>
      </c>
    </row>
    <row r="7" spans="1:11" x14ac:dyDescent="0.35">
      <c r="A7" s="6" t="s">
        <v>1156</v>
      </c>
      <c r="B7">
        <v>851302.50000000047</v>
      </c>
    </row>
    <row r="8" spans="1:11" x14ac:dyDescent="0.35">
      <c r="A8" s="6" t="s">
        <v>1316</v>
      </c>
      <c r="B8">
        <v>2961788.2099999962</v>
      </c>
    </row>
    <row r="9" spans="1:11" x14ac:dyDescent="0.35">
      <c r="E9" s="5" t="s">
        <v>1317</v>
      </c>
      <c r="F9" t="s">
        <v>1318</v>
      </c>
      <c r="J9" s="5" t="s">
        <v>1317</v>
      </c>
      <c r="K9" t="s">
        <v>1318</v>
      </c>
    </row>
    <row r="10" spans="1:11" x14ac:dyDescent="0.35">
      <c r="E10" s="6" t="s">
        <v>1254</v>
      </c>
      <c r="F10">
        <v>456904.07000000018</v>
      </c>
      <c r="J10" s="6" t="s">
        <v>1145</v>
      </c>
      <c r="K10">
        <v>865413.88000000059</v>
      </c>
    </row>
    <row r="11" spans="1:11" x14ac:dyDescent="0.35">
      <c r="E11" s="6" t="s">
        <v>1256</v>
      </c>
      <c r="F11">
        <v>238540.18</v>
      </c>
      <c r="J11" s="6" t="s">
        <v>1148</v>
      </c>
      <c r="K11">
        <v>931591.33000000066</v>
      </c>
    </row>
    <row r="12" spans="1:11" x14ac:dyDescent="0.35">
      <c r="A12" t="s">
        <v>1323</v>
      </c>
      <c r="E12" s="6" t="s">
        <v>1252</v>
      </c>
      <c r="F12">
        <v>1245170.4900000007</v>
      </c>
      <c r="J12" s="6" t="s">
        <v>1142</v>
      </c>
      <c r="K12">
        <v>1164782.9999999995</v>
      </c>
    </row>
    <row r="13" spans="1:11" x14ac:dyDescent="0.35">
      <c r="A13">
        <v>1131036.3800000031</v>
      </c>
      <c r="E13" s="6" t="s">
        <v>1259</v>
      </c>
      <c r="F13">
        <v>1021173.4700000002</v>
      </c>
      <c r="J13" s="6" t="s">
        <v>1316</v>
      </c>
      <c r="K13">
        <v>2961788.2099999962</v>
      </c>
    </row>
    <row r="14" spans="1:11" x14ac:dyDescent="0.35">
      <c r="E14" s="6" t="s">
        <v>1316</v>
      </c>
      <c r="F14">
        <v>2961788.2099999962</v>
      </c>
    </row>
    <row r="15" spans="1:11" x14ac:dyDescent="0.35">
      <c r="A15" t="s">
        <v>1324</v>
      </c>
    </row>
    <row r="16" spans="1:11" x14ac:dyDescent="0.35">
      <c r="A16">
        <v>2961.7882099999961</v>
      </c>
    </row>
    <row r="20" spans="1:10" x14ac:dyDescent="0.35">
      <c r="A20" s="5" t="s">
        <v>1317</v>
      </c>
      <c r="B20" t="s">
        <v>1318</v>
      </c>
    </row>
    <row r="21" spans="1:10" x14ac:dyDescent="0.35">
      <c r="A21" s="6" t="s">
        <v>1325</v>
      </c>
    </row>
    <row r="22" spans="1:10" x14ac:dyDescent="0.35">
      <c r="A22" s="7">
        <v>44570</v>
      </c>
      <c r="B22">
        <v>23310.42</v>
      </c>
    </row>
    <row r="23" spans="1:10" x14ac:dyDescent="0.35">
      <c r="A23" s="7">
        <v>44572</v>
      </c>
      <c r="B23">
        <v>14762.66</v>
      </c>
    </row>
    <row r="24" spans="1:10" x14ac:dyDescent="0.35">
      <c r="A24" s="7">
        <v>44927</v>
      </c>
      <c r="B24">
        <v>51341.819999999992</v>
      </c>
    </row>
    <row r="25" spans="1:10" x14ac:dyDescent="0.35">
      <c r="A25" s="7">
        <v>44944</v>
      </c>
      <c r="B25">
        <v>26653.9</v>
      </c>
      <c r="J25" t="s">
        <v>1319</v>
      </c>
    </row>
    <row r="26" spans="1:10" x14ac:dyDescent="0.35">
      <c r="A26" s="7">
        <v>44952</v>
      </c>
      <c r="B26">
        <v>34122.85</v>
      </c>
    </row>
    <row r="27" spans="1:10" x14ac:dyDescent="0.35">
      <c r="A27" s="7">
        <v>45297</v>
      </c>
      <c r="B27">
        <v>17215.850000000002</v>
      </c>
    </row>
    <row r="28" spans="1:10" x14ac:dyDescent="0.35">
      <c r="A28" s="7">
        <v>45299</v>
      </c>
      <c r="B28">
        <v>17782.34</v>
      </c>
    </row>
    <row r="29" spans="1:10" x14ac:dyDescent="0.35">
      <c r="A29" s="7">
        <v>45304</v>
      </c>
      <c r="B29">
        <v>26635.289999999997</v>
      </c>
    </row>
    <row r="30" spans="1:10" x14ac:dyDescent="0.35">
      <c r="A30" s="7">
        <v>45306</v>
      </c>
      <c r="B30">
        <v>50661.880000000005</v>
      </c>
    </row>
    <row r="31" spans="1:10" x14ac:dyDescent="0.35">
      <c r="A31" s="7">
        <v>45309</v>
      </c>
      <c r="B31">
        <v>23227.649999999998</v>
      </c>
    </row>
    <row r="32" spans="1:10" x14ac:dyDescent="0.35">
      <c r="A32" s="7">
        <v>45313</v>
      </c>
      <c r="B32">
        <v>37012.17</v>
      </c>
    </row>
    <row r="33" spans="1:2" x14ac:dyDescent="0.35">
      <c r="A33" s="7">
        <v>45314</v>
      </c>
      <c r="B33">
        <v>16505</v>
      </c>
    </row>
    <row r="34" spans="1:2" x14ac:dyDescent="0.35">
      <c r="A34" s="7">
        <v>45321</v>
      </c>
      <c r="B34">
        <v>21347.03</v>
      </c>
    </row>
    <row r="35" spans="1:2" x14ac:dyDescent="0.35">
      <c r="A35" s="6" t="s">
        <v>1326</v>
      </c>
    </row>
    <row r="36" spans="1:2" x14ac:dyDescent="0.35">
      <c r="A36" s="7">
        <v>44594</v>
      </c>
      <c r="B36">
        <v>31990.770000000004</v>
      </c>
    </row>
    <row r="37" spans="1:2" x14ac:dyDescent="0.35">
      <c r="A37" s="7">
        <v>44610</v>
      </c>
      <c r="B37">
        <v>17829.129999999997</v>
      </c>
    </row>
    <row r="38" spans="1:2" x14ac:dyDescent="0.35">
      <c r="A38" s="7">
        <v>44617</v>
      </c>
      <c r="B38">
        <v>35573.86</v>
      </c>
    </row>
    <row r="39" spans="1:2" x14ac:dyDescent="0.35">
      <c r="A39" s="7">
        <v>44967</v>
      </c>
      <c r="B39">
        <v>32156.68</v>
      </c>
    </row>
    <row r="40" spans="1:2" x14ac:dyDescent="0.35">
      <c r="A40" s="7">
        <v>44970</v>
      </c>
      <c r="B40">
        <v>29512.949999999993</v>
      </c>
    </row>
    <row r="41" spans="1:2" x14ac:dyDescent="0.35">
      <c r="A41" s="7">
        <v>45324</v>
      </c>
      <c r="B41">
        <v>41516.890000000007</v>
      </c>
    </row>
    <row r="42" spans="1:2" x14ac:dyDescent="0.35">
      <c r="A42" s="7">
        <v>45326</v>
      </c>
      <c r="B42">
        <v>32099.380000000005</v>
      </c>
    </row>
    <row r="43" spans="1:2" x14ac:dyDescent="0.35">
      <c r="A43" s="7">
        <v>45341</v>
      </c>
      <c r="B43">
        <v>29479.339999999997</v>
      </c>
    </row>
    <row r="44" spans="1:2" x14ac:dyDescent="0.35">
      <c r="A44" s="7">
        <v>45348</v>
      </c>
      <c r="B44">
        <v>41239.149999999994</v>
      </c>
    </row>
    <row r="45" spans="1:2" x14ac:dyDescent="0.35">
      <c r="A45" s="6" t="s">
        <v>1327</v>
      </c>
    </row>
    <row r="46" spans="1:2" x14ac:dyDescent="0.35">
      <c r="A46" s="7">
        <v>44634</v>
      </c>
      <c r="B46">
        <v>35977.869999999995</v>
      </c>
    </row>
    <row r="47" spans="1:2" x14ac:dyDescent="0.35">
      <c r="A47" s="7">
        <v>44637</v>
      </c>
      <c r="B47">
        <v>47494.95</v>
      </c>
    </row>
    <row r="48" spans="1:2" x14ac:dyDescent="0.35">
      <c r="A48" s="7">
        <v>44639</v>
      </c>
      <c r="B48">
        <v>36644.980000000003</v>
      </c>
    </row>
    <row r="49" spans="1:2" x14ac:dyDescent="0.35">
      <c r="A49" s="7">
        <v>44640</v>
      </c>
      <c r="B49">
        <v>25454.690000000002</v>
      </c>
    </row>
    <row r="50" spans="1:2" x14ac:dyDescent="0.35">
      <c r="A50" s="7">
        <v>44651</v>
      </c>
      <c r="B50">
        <v>30301.69</v>
      </c>
    </row>
    <row r="51" spans="1:2" x14ac:dyDescent="0.35">
      <c r="A51" s="7">
        <v>44990</v>
      </c>
      <c r="B51">
        <v>45523.58</v>
      </c>
    </row>
    <row r="52" spans="1:2" x14ac:dyDescent="0.35">
      <c r="A52" s="7">
        <v>44994</v>
      </c>
      <c r="B52">
        <v>41709.709999999992</v>
      </c>
    </row>
    <row r="53" spans="1:2" x14ac:dyDescent="0.35">
      <c r="A53" s="7">
        <v>45009</v>
      </c>
      <c r="B53">
        <v>59717.81</v>
      </c>
    </row>
    <row r="54" spans="1:2" x14ac:dyDescent="0.35">
      <c r="A54" s="7">
        <v>45354</v>
      </c>
      <c r="B54">
        <v>39362.480000000003</v>
      </c>
    </row>
    <row r="55" spans="1:2" x14ac:dyDescent="0.35">
      <c r="A55" s="7">
        <v>45364</v>
      </c>
      <c r="B55">
        <v>23253.800000000003</v>
      </c>
    </row>
    <row r="56" spans="1:2" x14ac:dyDescent="0.35">
      <c r="A56" s="7">
        <v>45371</v>
      </c>
      <c r="B56">
        <v>53309.23</v>
      </c>
    </row>
    <row r="57" spans="1:2" x14ac:dyDescent="0.35">
      <c r="A57" s="7">
        <v>45375</v>
      </c>
      <c r="B57">
        <v>27968.6</v>
      </c>
    </row>
    <row r="58" spans="1:2" x14ac:dyDescent="0.35">
      <c r="A58" s="6" t="s">
        <v>1328</v>
      </c>
    </row>
    <row r="59" spans="1:2" x14ac:dyDescent="0.35">
      <c r="A59" s="7">
        <v>44676</v>
      </c>
      <c r="B59">
        <v>51272.160000000003</v>
      </c>
    </row>
    <row r="60" spans="1:2" x14ac:dyDescent="0.35">
      <c r="A60" s="7">
        <v>45019</v>
      </c>
      <c r="B60">
        <v>11722.69</v>
      </c>
    </row>
    <row r="61" spans="1:2" x14ac:dyDescent="0.35">
      <c r="A61" s="7">
        <v>45027</v>
      </c>
      <c r="B61">
        <v>49871.139999999992</v>
      </c>
    </row>
    <row r="62" spans="1:2" x14ac:dyDescent="0.35">
      <c r="A62" s="7">
        <v>45031</v>
      </c>
      <c r="B62">
        <v>34697.599999999999</v>
      </c>
    </row>
    <row r="63" spans="1:2" x14ac:dyDescent="0.35">
      <c r="A63" s="7">
        <v>45046</v>
      </c>
      <c r="B63">
        <v>22157.440000000002</v>
      </c>
    </row>
    <row r="64" spans="1:2" x14ac:dyDescent="0.35">
      <c r="A64" s="7">
        <v>45403</v>
      </c>
      <c r="B64">
        <v>23754.26</v>
      </c>
    </row>
    <row r="65" spans="1:2" x14ac:dyDescent="0.35">
      <c r="A65" s="7">
        <v>45405</v>
      </c>
      <c r="B65">
        <v>32364.13</v>
      </c>
    </row>
    <row r="66" spans="1:2" x14ac:dyDescent="0.35">
      <c r="A66" s="7">
        <v>45407</v>
      </c>
      <c r="B66">
        <v>11250.029999999999</v>
      </c>
    </row>
    <row r="67" spans="1:2" x14ac:dyDescent="0.35">
      <c r="A67" s="7">
        <v>45409</v>
      </c>
      <c r="B67">
        <v>20732.400000000001</v>
      </c>
    </row>
    <row r="68" spans="1:2" x14ac:dyDescent="0.35">
      <c r="A68" s="6" t="s">
        <v>1329</v>
      </c>
    </row>
    <row r="69" spans="1:2" x14ac:dyDescent="0.35">
      <c r="A69" s="7">
        <v>44692</v>
      </c>
      <c r="B69">
        <v>31905.48</v>
      </c>
    </row>
    <row r="70" spans="1:2" x14ac:dyDescent="0.35">
      <c r="A70" s="7">
        <v>44698</v>
      </c>
      <c r="B70">
        <v>12611.88</v>
      </c>
    </row>
    <row r="71" spans="1:2" x14ac:dyDescent="0.35">
      <c r="A71" s="7">
        <v>44708</v>
      </c>
      <c r="B71">
        <v>22651.11</v>
      </c>
    </row>
    <row r="72" spans="1:2" x14ac:dyDescent="0.35">
      <c r="A72" s="7">
        <v>44709</v>
      </c>
      <c r="B72">
        <v>40014.280000000006</v>
      </c>
    </row>
    <row r="73" spans="1:2" x14ac:dyDescent="0.35">
      <c r="A73" s="7">
        <v>45048</v>
      </c>
      <c r="B73">
        <v>45301.91</v>
      </c>
    </row>
    <row r="74" spans="1:2" x14ac:dyDescent="0.35">
      <c r="A74" s="7">
        <v>45055</v>
      </c>
      <c r="B74">
        <v>25637.42</v>
      </c>
    </row>
    <row r="75" spans="1:2" x14ac:dyDescent="0.35">
      <c r="A75" s="7">
        <v>45060</v>
      </c>
      <c r="B75">
        <v>61659.26999999999</v>
      </c>
    </row>
    <row r="76" spans="1:2" x14ac:dyDescent="0.35">
      <c r="A76" s="7">
        <v>45072</v>
      </c>
      <c r="B76">
        <v>31860.89</v>
      </c>
    </row>
    <row r="77" spans="1:2" x14ac:dyDescent="0.35">
      <c r="A77" s="7">
        <v>45435</v>
      </c>
      <c r="B77">
        <v>16066.490000000002</v>
      </c>
    </row>
    <row r="78" spans="1:2" x14ac:dyDescent="0.35">
      <c r="A78" s="7">
        <v>45440</v>
      </c>
      <c r="B78">
        <v>28279.010000000002</v>
      </c>
    </row>
    <row r="79" spans="1:2" x14ac:dyDescent="0.35">
      <c r="A79" s="6" t="s">
        <v>1330</v>
      </c>
    </row>
    <row r="80" spans="1:2" x14ac:dyDescent="0.35">
      <c r="A80" s="7">
        <v>44715</v>
      </c>
      <c r="B80">
        <v>26510.98</v>
      </c>
    </row>
    <row r="81" spans="1:2" x14ac:dyDescent="0.35">
      <c r="A81" s="7">
        <v>44719</v>
      </c>
      <c r="B81">
        <v>9839.1</v>
      </c>
    </row>
    <row r="82" spans="1:2" x14ac:dyDescent="0.35">
      <c r="A82" s="7">
        <v>44733</v>
      </c>
      <c r="B82">
        <v>50953.21</v>
      </c>
    </row>
    <row r="83" spans="1:2" x14ac:dyDescent="0.35">
      <c r="A83" s="7">
        <v>45096</v>
      </c>
      <c r="B83">
        <v>12667.43</v>
      </c>
    </row>
    <row r="84" spans="1:2" x14ac:dyDescent="0.35">
      <c r="A84" s="7">
        <v>45471</v>
      </c>
      <c r="B84">
        <v>57116.72</v>
      </c>
    </row>
    <row r="85" spans="1:2" x14ac:dyDescent="0.35">
      <c r="A85" s="6" t="s">
        <v>1331</v>
      </c>
    </row>
    <row r="86" spans="1:2" x14ac:dyDescent="0.35">
      <c r="A86" s="7">
        <v>44768</v>
      </c>
      <c r="B86">
        <v>34157.06</v>
      </c>
    </row>
    <row r="87" spans="1:2" x14ac:dyDescent="0.35">
      <c r="A87" s="7">
        <v>45116</v>
      </c>
      <c r="B87">
        <v>49241.210000000006</v>
      </c>
    </row>
    <row r="88" spans="1:2" x14ac:dyDescent="0.35">
      <c r="A88" s="7">
        <v>45122</v>
      </c>
      <c r="B88">
        <v>18555.830000000002</v>
      </c>
    </row>
    <row r="89" spans="1:2" x14ac:dyDescent="0.35">
      <c r="A89" s="7">
        <v>45125</v>
      </c>
      <c r="B89">
        <v>21613.539999999997</v>
      </c>
    </row>
    <row r="90" spans="1:2" x14ac:dyDescent="0.35">
      <c r="A90" s="7">
        <v>45128</v>
      </c>
      <c r="B90">
        <v>7722.119999999999</v>
      </c>
    </row>
    <row r="91" spans="1:2" x14ac:dyDescent="0.35">
      <c r="A91" s="7">
        <v>45474</v>
      </c>
      <c r="B91">
        <v>34366.370000000003</v>
      </c>
    </row>
    <row r="92" spans="1:2" x14ac:dyDescent="0.35">
      <c r="A92" s="6" t="s">
        <v>1332</v>
      </c>
    </row>
    <row r="93" spans="1:2" x14ac:dyDescent="0.35">
      <c r="A93" s="7">
        <v>44778</v>
      </c>
      <c r="B93">
        <v>36143.919999999998</v>
      </c>
    </row>
    <row r="94" spans="1:2" x14ac:dyDescent="0.35">
      <c r="A94" s="7">
        <v>44792</v>
      </c>
      <c r="B94">
        <v>34940.99</v>
      </c>
    </row>
    <row r="95" spans="1:2" x14ac:dyDescent="0.35">
      <c r="A95" s="7">
        <v>44797</v>
      </c>
      <c r="B95">
        <v>39580.61</v>
      </c>
    </row>
    <row r="96" spans="1:2" x14ac:dyDescent="0.35">
      <c r="A96" s="7">
        <v>44798</v>
      </c>
      <c r="B96">
        <v>11065.98</v>
      </c>
    </row>
    <row r="97" spans="1:2" x14ac:dyDescent="0.35">
      <c r="A97" s="7">
        <v>45151</v>
      </c>
      <c r="B97">
        <v>34681.780000000006</v>
      </c>
    </row>
    <row r="98" spans="1:2" x14ac:dyDescent="0.35">
      <c r="A98" s="7">
        <v>45526</v>
      </c>
      <c r="B98">
        <v>40517.369999999995</v>
      </c>
    </row>
    <row r="99" spans="1:2" x14ac:dyDescent="0.35">
      <c r="A99" s="7">
        <v>45528</v>
      </c>
      <c r="B99">
        <v>50735.61</v>
      </c>
    </row>
    <row r="100" spans="1:2" x14ac:dyDescent="0.35">
      <c r="A100" s="6" t="s">
        <v>1333</v>
      </c>
    </row>
    <row r="101" spans="1:2" x14ac:dyDescent="0.35">
      <c r="A101" s="7">
        <v>44806</v>
      </c>
      <c r="B101">
        <v>45458.350000000006</v>
      </c>
    </row>
    <row r="102" spans="1:2" x14ac:dyDescent="0.35">
      <c r="A102" s="7">
        <v>44809</v>
      </c>
      <c r="B102">
        <v>16808.07</v>
      </c>
    </row>
    <row r="103" spans="1:2" x14ac:dyDescent="0.35">
      <c r="A103" s="7">
        <v>44818</v>
      </c>
      <c r="B103">
        <v>21703.969999999998</v>
      </c>
    </row>
    <row r="104" spans="1:2" x14ac:dyDescent="0.35">
      <c r="A104" s="7">
        <v>44833</v>
      </c>
      <c r="B104">
        <v>23605.809999999998</v>
      </c>
    </row>
    <row r="105" spans="1:2" x14ac:dyDescent="0.35">
      <c r="A105" s="7">
        <v>45194</v>
      </c>
      <c r="B105">
        <v>33735.21</v>
      </c>
    </row>
    <row r="106" spans="1:2" x14ac:dyDescent="0.35">
      <c r="A106" s="7">
        <v>45546</v>
      </c>
      <c r="B106">
        <v>37040.169999999991</v>
      </c>
    </row>
    <row r="107" spans="1:2" x14ac:dyDescent="0.35">
      <c r="A107" s="7">
        <v>45547</v>
      </c>
      <c r="B107">
        <v>23504.98</v>
      </c>
    </row>
    <row r="108" spans="1:2" x14ac:dyDescent="0.35">
      <c r="A108" s="6" t="s">
        <v>1334</v>
      </c>
    </row>
    <row r="109" spans="1:2" x14ac:dyDescent="0.35">
      <c r="A109" s="7">
        <v>44835</v>
      </c>
      <c r="B109">
        <v>25007.3</v>
      </c>
    </row>
    <row r="110" spans="1:2" x14ac:dyDescent="0.35">
      <c r="A110" s="7">
        <v>44841</v>
      </c>
      <c r="B110">
        <v>23095.480000000003</v>
      </c>
    </row>
    <row r="111" spans="1:2" x14ac:dyDescent="0.35">
      <c r="A111" s="7">
        <v>44848</v>
      </c>
      <c r="B111">
        <v>25373.179999999997</v>
      </c>
    </row>
    <row r="112" spans="1:2" x14ac:dyDescent="0.35">
      <c r="A112" s="7">
        <v>44852</v>
      </c>
      <c r="B112">
        <v>25495.599999999999</v>
      </c>
    </row>
    <row r="113" spans="1:2" x14ac:dyDescent="0.35">
      <c r="A113" s="7">
        <v>44860</v>
      </c>
      <c r="B113">
        <v>12179.6</v>
      </c>
    </row>
    <row r="114" spans="1:2" x14ac:dyDescent="0.35">
      <c r="A114" s="7">
        <v>45214</v>
      </c>
      <c r="B114">
        <v>17561.009999999998</v>
      </c>
    </row>
    <row r="115" spans="1:2" x14ac:dyDescent="0.35">
      <c r="A115" s="6" t="s">
        <v>1335</v>
      </c>
    </row>
    <row r="116" spans="1:2" x14ac:dyDescent="0.35">
      <c r="A116" s="7">
        <v>44867</v>
      </c>
      <c r="B116">
        <v>12828.74</v>
      </c>
    </row>
    <row r="117" spans="1:2" x14ac:dyDescent="0.35">
      <c r="A117" s="7">
        <v>44871</v>
      </c>
      <c r="B117">
        <v>12596</v>
      </c>
    </row>
    <row r="118" spans="1:2" x14ac:dyDescent="0.35">
      <c r="A118" s="7">
        <v>44880</v>
      </c>
      <c r="B118">
        <v>23907.94</v>
      </c>
    </row>
    <row r="119" spans="1:2" x14ac:dyDescent="0.35">
      <c r="A119" s="7">
        <v>44881</v>
      </c>
      <c r="B119">
        <v>30151.020000000004</v>
      </c>
    </row>
    <row r="120" spans="1:2" x14ac:dyDescent="0.35">
      <c r="A120" s="7">
        <v>45251</v>
      </c>
      <c r="B120">
        <v>42376.240000000005</v>
      </c>
    </row>
    <row r="121" spans="1:2" x14ac:dyDescent="0.35">
      <c r="A121" s="7">
        <v>45260</v>
      </c>
      <c r="B121">
        <v>22537.210000000003</v>
      </c>
    </row>
    <row r="122" spans="1:2" x14ac:dyDescent="0.35">
      <c r="A122" s="6" t="s">
        <v>1336</v>
      </c>
    </row>
    <row r="123" spans="1:2" x14ac:dyDescent="0.35">
      <c r="A123" s="7">
        <v>44904</v>
      </c>
      <c r="B123">
        <v>38801.579999999994</v>
      </c>
    </row>
    <row r="124" spans="1:2" x14ac:dyDescent="0.35">
      <c r="A124" s="7">
        <v>44915</v>
      </c>
      <c r="B124">
        <v>32057.42</v>
      </c>
    </row>
    <row r="125" spans="1:2" x14ac:dyDescent="0.35">
      <c r="A125" s="7">
        <v>45264</v>
      </c>
      <c r="B125">
        <v>35000.03</v>
      </c>
    </row>
    <row r="126" spans="1:2" x14ac:dyDescent="0.35">
      <c r="A126" s="7">
        <v>45275</v>
      </c>
      <c r="B126">
        <v>45535.74</v>
      </c>
    </row>
    <row r="127" spans="1:2" x14ac:dyDescent="0.35">
      <c r="A127" s="7">
        <v>45289</v>
      </c>
      <c r="B127">
        <v>37210.660000000003</v>
      </c>
    </row>
    <row r="128" spans="1:2" x14ac:dyDescent="0.35">
      <c r="A128" s="7">
        <v>45291</v>
      </c>
      <c r="B128">
        <v>35301.08</v>
      </c>
    </row>
    <row r="129" spans="1:2" x14ac:dyDescent="0.35">
      <c r="A129" s="6" t="s">
        <v>1316</v>
      </c>
      <c r="B129">
        <v>2961788.2099999962</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AAF0-78FA-4552-9C3F-85E9EAEA94E0}">
  <dimension ref="A1:M5"/>
  <sheetViews>
    <sheetView showGridLines="0" topLeftCell="A4" workbookViewId="0">
      <selection activeCell="B7" sqref="B7"/>
    </sheetView>
  </sheetViews>
  <sheetFormatPr defaultRowHeight="14.5" x14ac:dyDescent="0.35"/>
  <cols>
    <col min="2" max="2" width="29.54296875" bestFit="1" customWidth="1"/>
    <col min="5" max="5" width="29.54296875" bestFit="1" customWidth="1"/>
    <col min="8" max="8" width="21.81640625" bestFit="1" customWidth="1"/>
  </cols>
  <sheetData>
    <row r="1" spans="1:13" x14ac:dyDescent="0.35">
      <c r="A1" s="9" t="s">
        <v>1320</v>
      </c>
      <c r="B1" s="10"/>
      <c r="C1" s="10"/>
      <c r="D1" s="10"/>
      <c r="E1" s="10"/>
      <c r="F1" s="10"/>
      <c r="G1" s="10"/>
      <c r="H1" s="10"/>
      <c r="I1" s="10"/>
      <c r="J1" s="10"/>
      <c r="K1" s="10"/>
      <c r="L1" s="10"/>
      <c r="M1" s="10"/>
    </row>
    <row r="2" spans="1:13" x14ac:dyDescent="0.35">
      <c r="A2" s="10"/>
      <c r="B2" s="10"/>
      <c r="C2" s="10"/>
      <c r="D2" s="10"/>
      <c r="E2" s="10"/>
      <c r="F2" s="10"/>
      <c r="G2" s="10"/>
      <c r="H2" s="10"/>
      <c r="I2" s="10"/>
      <c r="J2" s="10"/>
      <c r="K2" s="10"/>
      <c r="L2" s="10"/>
      <c r="M2" s="10"/>
    </row>
    <row r="3" spans="1:13" x14ac:dyDescent="0.35">
      <c r="A3" s="10"/>
      <c r="B3" s="10"/>
      <c r="C3" s="10"/>
      <c r="D3" s="10"/>
      <c r="E3" s="10"/>
      <c r="F3" s="10"/>
      <c r="G3" s="10"/>
      <c r="H3" s="10"/>
      <c r="I3" s="10"/>
      <c r="J3" s="10"/>
      <c r="K3" s="10"/>
      <c r="L3" s="10"/>
      <c r="M3" s="10"/>
    </row>
    <row r="4" spans="1:13" x14ac:dyDescent="0.35">
      <c r="B4" t="s">
        <v>1321</v>
      </c>
      <c r="E4" t="s">
        <v>1322</v>
      </c>
      <c r="H4" t="s">
        <v>1337</v>
      </c>
    </row>
    <row r="5" spans="1:13" ht="31" x14ac:dyDescent="0.7">
      <c r="B5" s="8">
        <f>GETPIVOTDATA("[Measures].[Sum of Revenue]",Sheet4!$A$3)</f>
        <v>2961788.2099999962</v>
      </c>
      <c r="C5" s="8"/>
      <c r="D5" s="8"/>
      <c r="E5" s="8">
        <f>GETPIVOTDATA("[Measures].[Sum of PROFIT]",Sheet4!$A$12)</f>
        <v>1131036.3800000031</v>
      </c>
      <c r="F5" s="8"/>
      <c r="G5" s="8"/>
      <c r="H5" s="8">
        <f>GETPIVOTDATA("[Measures].[Average of Revenue]",Sheet4!$A$15)</f>
        <v>2961.7882099999961</v>
      </c>
      <c r="I5" s="8"/>
    </row>
  </sheetData>
  <mergeCells count="1">
    <mergeCell ref="A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L3" sqref="L3"/>
    </sheetView>
  </sheetViews>
  <sheetFormatPr defaultRowHeight="14.5" x14ac:dyDescent="0.35"/>
  <cols>
    <col min="1" max="1" width="18" customWidth="1"/>
    <col min="2" max="2" width="18" style="4" customWidth="1"/>
    <col min="3" max="6" width="18" customWidth="1"/>
  </cols>
  <sheetData>
    <row r="1" spans="1:11" x14ac:dyDescent="0.35">
      <c r="A1" s="1" t="s">
        <v>0</v>
      </c>
      <c r="B1" s="3" t="s">
        <v>1</v>
      </c>
      <c r="C1" s="1" t="s">
        <v>2</v>
      </c>
      <c r="D1" s="1" t="s">
        <v>3</v>
      </c>
      <c r="E1" s="1" t="s">
        <v>4</v>
      </c>
      <c r="F1" s="1" t="s">
        <v>5</v>
      </c>
      <c r="G1" s="1" t="s">
        <v>1312</v>
      </c>
      <c r="H1" s="1" t="s">
        <v>1313</v>
      </c>
      <c r="I1" s="1" t="s">
        <v>1314</v>
      </c>
      <c r="J1" s="1" t="s">
        <v>1315</v>
      </c>
    </row>
    <row r="2" spans="1:11" x14ac:dyDescent="0.35">
      <c r="A2" t="s">
        <v>6</v>
      </c>
      <c r="B2" s="4">
        <v>45228</v>
      </c>
      <c r="C2" t="s">
        <v>7</v>
      </c>
      <c r="D2" t="s">
        <v>8</v>
      </c>
      <c r="E2">
        <v>12</v>
      </c>
      <c r="F2">
        <v>0</v>
      </c>
      <c r="G2" cm="1">
        <f t="array" ref="G2">SALESTABLE[[#This Row],[Quantity]]*_xlfn.XLOOKUP(SALESTABLE[[#This Row],[Product_ID]],ProductsTable[Product_ID],ProductsTable[Unit_Price],WAASIU,0,1)</f>
        <v>4035.84</v>
      </c>
      <c r="H2" cm="1">
        <f t="array" ref="H2">SALESTABLE[[#This Row],[Quantity]]*_xlfn.XLOOKUP(SALESTABLE[[#This Row],[Product_ID]],ProductsTable[Product_ID],ProductsTable[Cost_Price],WAASIU,0,1)</f>
        <v>2733.36</v>
      </c>
      <c r="I2">
        <f>SALESTABLE[[#This Row],[Revenue]]-SALESTABLE[[#This Row],[COST]]</f>
        <v>1302.48</v>
      </c>
      <c r="J2">
        <f>SALESTABLE[[#This Row],[PROFIT]]/SALESTABLE[[#This Row],[Revenue]]*100</f>
        <v>32.272835394862035</v>
      </c>
    </row>
    <row r="3" spans="1:11" x14ac:dyDescent="0.35">
      <c r="A3" t="s">
        <v>9</v>
      </c>
      <c r="B3" s="4">
        <v>44995</v>
      </c>
      <c r="C3" t="s">
        <v>10</v>
      </c>
      <c r="D3" t="s">
        <v>11</v>
      </c>
      <c r="E3">
        <v>12</v>
      </c>
      <c r="F3">
        <v>20</v>
      </c>
      <c r="G3" cm="1">
        <f t="array" ref="G3">SALESTABLE[[#This Row],[Quantity]]*_xlfn.XLOOKUP(SALESTABLE[[#This Row],[Product_ID]],ProductsTable[Product_ID],ProductsTable[Unit_Price],WAASIU,0,1)</f>
        <v>5727.24</v>
      </c>
      <c r="H3" cm="1">
        <f t="array" ref="H3">SALESTABLE[[#This Row],[Quantity]]*_xlfn.XLOOKUP(SALESTABLE[[#This Row],[Product_ID]],ProductsTable[Product_ID],ProductsTable[Cost_Price],WAASIU,0,1)</f>
        <v>3586.08</v>
      </c>
      <c r="I3">
        <f>SALESTABLE[[#This Row],[Revenue]]-SALESTABLE[[#This Row],[COST]]</f>
        <v>2141.16</v>
      </c>
      <c r="J3">
        <f>SALESTABLE[[#This Row],[PROFIT]]/SALESTABLE[[#This Row],[Revenue]]*100</f>
        <v>37.385546965030272</v>
      </c>
    </row>
    <row r="4" spans="1:11" x14ac:dyDescent="0.35">
      <c r="A4" t="s">
        <v>12</v>
      </c>
      <c r="B4" s="4">
        <v>45135</v>
      </c>
      <c r="C4" t="s">
        <v>10</v>
      </c>
      <c r="D4" t="s">
        <v>13</v>
      </c>
      <c r="E4">
        <v>9</v>
      </c>
      <c r="F4">
        <v>5</v>
      </c>
      <c r="G4" cm="1">
        <f t="array" ref="G4">SALESTABLE[[#This Row],[Quantity]]*_xlfn.XLOOKUP(SALESTABLE[[#This Row],[Product_ID]],ProductsTable[Product_ID],ProductsTable[Unit_Price],WAASIU,0,1)</f>
        <v>3916.62</v>
      </c>
      <c r="H4" cm="1">
        <f t="array" ref="H4">SALESTABLE[[#This Row],[Quantity]]*_xlfn.XLOOKUP(SALESTABLE[[#This Row],[Product_ID]],ProductsTable[Product_ID],ProductsTable[Cost_Price],WAASIU,0,1)</f>
        <v>2078.5499999999997</v>
      </c>
      <c r="I4">
        <f>SALESTABLE[[#This Row],[Revenue]]-SALESTABLE[[#This Row],[COST]]</f>
        <v>1838.0700000000002</v>
      </c>
      <c r="J4">
        <f>SALESTABLE[[#This Row],[PROFIT]]/SALESTABLE[[#This Row],[Revenue]]*100</f>
        <v>46.930005974539277</v>
      </c>
    </row>
    <row r="5" spans="1:11" x14ac:dyDescent="0.35">
      <c r="A5" t="s">
        <v>14</v>
      </c>
      <c r="B5" s="4">
        <v>45469</v>
      </c>
      <c r="C5" t="s">
        <v>15</v>
      </c>
      <c r="D5" t="s">
        <v>16</v>
      </c>
      <c r="E5">
        <v>2</v>
      </c>
      <c r="F5">
        <v>10</v>
      </c>
      <c r="G5" cm="1">
        <f t="array" ref="G5">SALESTABLE[[#This Row],[Quantity]]*_xlfn.XLOOKUP(SALESTABLE[[#This Row],[Product_ID]],ProductsTable[Product_ID],ProductsTable[Unit_Price],WAASIU,0,1)</f>
        <v>724.34</v>
      </c>
      <c r="H5" cm="1">
        <f t="array" ref="H5">SALESTABLE[[#This Row],[Quantity]]*_xlfn.XLOOKUP(SALESTABLE[[#This Row],[Product_ID]],ProductsTable[Product_ID],ProductsTable[Cost_Price],WAASIU,0,1)</f>
        <v>466.76</v>
      </c>
      <c r="I5">
        <f>SALESTABLE[[#This Row],[Revenue]]-SALESTABLE[[#This Row],[COST]]</f>
        <v>257.58000000000004</v>
      </c>
      <c r="J5">
        <f>SALESTABLE[[#This Row],[PROFIT]]/SALESTABLE[[#This Row],[Revenue]]*100</f>
        <v>35.56064831432753</v>
      </c>
    </row>
    <row r="6" spans="1:11" x14ac:dyDescent="0.35">
      <c r="A6" t="s">
        <v>17</v>
      </c>
      <c r="B6" s="4">
        <v>45073</v>
      </c>
      <c r="C6" t="s">
        <v>18</v>
      </c>
      <c r="D6" t="s">
        <v>19</v>
      </c>
      <c r="E6">
        <v>7</v>
      </c>
      <c r="F6">
        <v>10</v>
      </c>
      <c r="G6" cm="1">
        <f t="array" ref="G6">SALESTABLE[[#This Row],[Quantity]]*_xlfn.XLOOKUP(SALESTABLE[[#This Row],[Product_ID]],ProductsTable[Product_ID],ProductsTable[Unit_Price],WAASIU,0,1)</f>
        <v>425.32</v>
      </c>
      <c r="H6" cm="1">
        <f t="array" ref="H6">SALESTABLE[[#This Row],[Quantity]]*_xlfn.XLOOKUP(SALESTABLE[[#This Row],[Product_ID]],ProductsTable[Product_ID],ProductsTable[Cost_Price],WAASIU,0,1)</f>
        <v>283.15000000000003</v>
      </c>
      <c r="I6">
        <f>SALESTABLE[[#This Row],[Revenue]]-SALESTABLE[[#This Row],[COST]]</f>
        <v>142.16999999999996</v>
      </c>
      <c r="J6">
        <f>SALESTABLE[[#This Row],[PROFIT]]/SALESTABLE[[#This Row],[Revenue]]*100</f>
        <v>33.426596445029617</v>
      </c>
    </row>
    <row r="7" spans="1:11" x14ac:dyDescent="0.35">
      <c r="A7" t="s">
        <v>20</v>
      </c>
      <c r="B7" s="4">
        <v>45352</v>
      </c>
      <c r="C7" t="s">
        <v>21</v>
      </c>
      <c r="D7" t="s">
        <v>22</v>
      </c>
      <c r="E7">
        <v>8</v>
      </c>
      <c r="F7">
        <v>20</v>
      </c>
      <c r="G7" cm="1">
        <f t="array" ref="G7">SALESTABLE[[#This Row],[Quantity]]*_xlfn.XLOOKUP(SALESTABLE[[#This Row],[Product_ID]],ProductsTable[Product_ID],ProductsTable[Unit_Price],WAASIU,0,1)</f>
        <v>3357.36</v>
      </c>
      <c r="H7" cm="1">
        <f t="array" ref="H7">SALESTABLE[[#This Row],[Quantity]]*_xlfn.XLOOKUP(SALESTABLE[[#This Row],[Product_ID]],ProductsTable[Product_ID],ProductsTable[Cost_Price],WAASIU,0,1)</f>
        <v>1707.36</v>
      </c>
      <c r="I7">
        <f>SALESTABLE[[#This Row],[Revenue]]-SALESTABLE[[#This Row],[COST]]</f>
        <v>1650.0000000000002</v>
      </c>
      <c r="J7">
        <f>SALESTABLE[[#This Row],[PROFIT]]/SALESTABLE[[#This Row],[Revenue]]*100</f>
        <v>49.145757380799203</v>
      </c>
    </row>
    <row r="8" spans="1:11" x14ac:dyDescent="0.35">
      <c r="A8" t="s">
        <v>23</v>
      </c>
      <c r="B8" s="4">
        <v>45157</v>
      </c>
      <c r="C8" t="s">
        <v>24</v>
      </c>
      <c r="D8" t="s">
        <v>25</v>
      </c>
      <c r="E8">
        <v>19</v>
      </c>
      <c r="F8">
        <v>5</v>
      </c>
      <c r="G8" cm="1">
        <f t="array" ref="G8">SALESTABLE[[#This Row],[Quantity]]*_xlfn.XLOOKUP(SALESTABLE[[#This Row],[Product_ID]],ProductsTable[Product_ID],ProductsTable[Unit_Price],WAASIU,0,1)</f>
        <v>3377.4399999999996</v>
      </c>
      <c r="H8" cm="1">
        <f t="array" ref="H8">SALESTABLE[[#This Row],[Quantity]]*_xlfn.XLOOKUP(SALESTABLE[[#This Row],[Product_ID]],ProductsTable[Product_ID],ProductsTable[Cost_Price],WAASIU,0,1)</f>
        <v>1745.7199999999998</v>
      </c>
      <c r="I8">
        <f>SALESTABLE[[#This Row],[Revenue]]-SALESTABLE[[#This Row],[COST]]</f>
        <v>1631.7199999999998</v>
      </c>
      <c r="J8">
        <f>SALESTABLE[[#This Row],[PROFIT]]/SALESTABLE[[#This Row],[Revenue]]*100</f>
        <v>48.312331233123309</v>
      </c>
    </row>
    <row r="9" spans="1:11" x14ac:dyDescent="0.35">
      <c r="A9" t="s">
        <v>26</v>
      </c>
      <c r="B9" s="4">
        <v>45360</v>
      </c>
      <c r="C9" t="s">
        <v>27</v>
      </c>
      <c r="D9" t="s">
        <v>28</v>
      </c>
      <c r="E9">
        <v>7</v>
      </c>
      <c r="F9">
        <v>10</v>
      </c>
      <c r="G9" cm="1">
        <f t="array" ref="G9">SALESTABLE[[#This Row],[Quantity]]*_xlfn.XLOOKUP(SALESTABLE[[#This Row],[Product_ID]],ProductsTable[Product_ID],ProductsTable[Unit_Price],WAASIU,0,1)</f>
        <v>2978.36</v>
      </c>
      <c r="H9" cm="1">
        <f t="array" ref="H9">SALESTABLE[[#This Row],[Quantity]]*_xlfn.XLOOKUP(SALESTABLE[[#This Row],[Product_ID]],ProductsTable[Product_ID],ProductsTable[Cost_Price],WAASIU,0,1)</f>
        <v>1634.36</v>
      </c>
      <c r="I9">
        <f>SALESTABLE[[#This Row],[Revenue]]-SALESTABLE[[#This Row],[COST]]</f>
        <v>1344.0000000000002</v>
      </c>
      <c r="J9">
        <f>SALESTABLE[[#This Row],[PROFIT]]/SALESTABLE[[#This Row],[Revenue]]*100</f>
        <v>45.125505311648027</v>
      </c>
      <c r="K9" cm="1">
        <f t="array" ref="K9">_xlfn.XLOOKUP(D2,ProductsTable[Product_ID],ProductsTable[Unit_Price],WAASIU,0,1)</f>
        <v>336.32</v>
      </c>
    </row>
    <row r="10" spans="1:11" x14ac:dyDescent="0.35">
      <c r="A10" t="s">
        <v>29</v>
      </c>
      <c r="B10" s="4">
        <v>44956</v>
      </c>
      <c r="C10" t="s">
        <v>30</v>
      </c>
      <c r="D10" t="s">
        <v>31</v>
      </c>
      <c r="E10">
        <v>19</v>
      </c>
      <c r="F10">
        <v>0</v>
      </c>
      <c r="G10" cm="1">
        <f t="array" ref="G10">SALESTABLE[[#This Row],[Quantity]]*_xlfn.XLOOKUP(SALESTABLE[[#This Row],[Product_ID]],ProductsTable[Product_ID],ProductsTable[Unit_Price],WAASIU,0,1)</f>
        <v>3289.66</v>
      </c>
      <c r="H10" cm="1">
        <f t="array" ref="H10">SALESTABLE[[#This Row],[Quantity]]*_xlfn.XLOOKUP(SALESTABLE[[#This Row],[Product_ID]],ProductsTable[Product_ID],ProductsTable[Cost_Price],WAASIU,0,1)</f>
        <v>1905.5100000000002</v>
      </c>
      <c r="I10">
        <f>SALESTABLE[[#This Row],[Revenue]]-SALESTABLE[[#This Row],[COST]]</f>
        <v>1384.1499999999996</v>
      </c>
      <c r="J10">
        <f>SALESTABLE[[#This Row],[PROFIT]]/SALESTABLE[[#This Row],[Revenue]]*100</f>
        <v>42.075776828000457</v>
      </c>
    </row>
    <row r="11" spans="1:11" x14ac:dyDescent="0.35">
      <c r="A11" t="s">
        <v>32</v>
      </c>
      <c r="B11" s="4">
        <v>45502</v>
      </c>
      <c r="C11" t="s">
        <v>33</v>
      </c>
      <c r="D11" t="s">
        <v>34</v>
      </c>
      <c r="E11">
        <v>18</v>
      </c>
      <c r="F11">
        <v>20</v>
      </c>
      <c r="G11" cm="1">
        <f t="array" ref="G11">SALESTABLE[[#This Row],[Quantity]]*_xlfn.XLOOKUP(SALESTABLE[[#This Row],[Product_ID]],ProductsTable[Product_ID],ProductsTable[Unit_Price],WAASIU,0,1)</f>
        <v>5917.5</v>
      </c>
      <c r="H11" cm="1">
        <f t="array" ref="H11">SALESTABLE[[#This Row],[Quantity]]*_xlfn.XLOOKUP(SALESTABLE[[#This Row],[Product_ID]],ProductsTable[Product_ID],ProductsTable[Cost_Price],WAASIU,0,1)</f>
        <v>4197.24</v>
      </c>
      <c r="I11">
        <f>SALESTABLE[[#This Row],[Revenue]]-SALESTABLE[[#This Row],[COST]]</f>
        <v>1720.2600000000002</v>
      </c>
      <c r="J11">
        <f>SALESTABLE[[#This Row],[PROFIT]]/SALESTABLE[[#This Row],[Revenue]]*100</f>
        <v>29.070722433460077</v>
      </c>
    </row>
    <row r="12" spans="1:11" x14ac:dyDescent="0.35">
      <c r="A12" t="s">
        <v>35</v>
      </c>
      <c r="B12" s="4">
        <v>45583</v>
      </c>
      <c r="C12" t="s">
        <v>36</v>
      </c>
      <c r="D12" t="s">
        <v>28</v>
      </c>
      <c r="E12">
        <v>13</v>
      </c>
      <c r="F12">
        <v>15</v>
      </c>
      <c r="G12" cm="1">
        <f t="array" ref="G12">SALESTABLE[[#This Row],[Quantity]]*_xlfn.XLOOKUP(SALESTABLE[[#This Row],[Product_ID]],ProductsTable[Product_ID],ProductsTable[Unit_Price],WAASIU,0,1)</f>
        <v>5531.24</v>
      </c>
      <c r="H12" cm="1">
        <f t="array" ref="H12">SALESTABLE[[#This Row],[Quantity]]*_xlfn.XLOOKUP(SALESTABLE[[#This Row],[Product_ID]],ProductsTable[Product_ID],ProductsTable[Cost_Price],WAASIU,0,1)</f>
        <v>3035.24</v>
      </c>
      <c r="I12">
        <f>SALESTABLE[[#This Row],[Revenue]]-SALESTABLE[[#This Row],[COST]]</f>
        <v>2496</v>
      </c>
      <c r="J12">
        <f>SALESTABLE[[#This Row],[PROFIT]]/SALESTABLE[[#This Row],[Revenue]]*100</f>
        <v>45.12550531164802</v>
      </c>
    </row>
    <row r="13" spans="1:11" x14ac:dyDescent="0.35">
      <c r="A13" t="s">
        <v>37</v>
      </c>
      <c r="B13" s="4">
        <v>45046</v>
      </c>
      <c r="C13" t="s">
        <v>38</v>
      </c>
      <c r="D13" t="s">
        <v>13</v>
      </c>
      <c r="E13">
        <v>8</v>
      </c>
      <c r="F13">
        <v>5</v>
      </c>
      <c r="G13" cm="1">
        <f t="array" ref="G13">SALESTABLE[[#This Row],[Quantity]]*_xlfn.XLOOKUP(SALESTABLE[[#This Row],[Product_ID]],ProductsTable[Product_ID],ProductsTable[Unit_Price],WAASIU,0,1)</f>
        <v>3481.44</v>
      </c>
      <c r="H13" cm="1">
        <f t="array" ref="H13">SALESTABLE[[#This Row],[Quantity]]*_xlfn.XLOOKUP(SALESTABLE[[#This Row],[Product_ID]],ProductsTable[Product_ID],ProductsTable[Cost_Price],WAASIU,0,1)</f>
        <v>1847.6</v>
      </c>
      <c r="I13">
        <f>SALESTABLE[[#This Row],[Revenue]]-SALESTABLE[[#This Row],[COST]]</f>
        <v>1633.8400000000001</v>
      </c>
      <c r="J13">
        <f>SALESTABLE[[#This Row],[PROFIT]]/SALESTABLE[[#This Row],[Revenue]]*100</f>
        <v>46.930005974539277</v>
      </c>
    </row>
    <row r="14" spans="1:11" x14ac:dyDescent="0.35">
      <c r="A14" t="s">
        <v>39</v>
      </c>
      <c r="B14" s="4">
        <v>45529</v>
      </c>
      <c r="C14" t="s">
        <v>40</v>
      </c>
      <c r="D14" t="s">
        <v>41</v>
      </c>
      <c r="E14">
        <v>8</v>
      </c>
      <c r="F14">
        <v>5</v>
      </c>
      <c r="G14" cm="1">
        <f t="array" ref="G14">SALESTABLE[[#This Row],[Quantity]]*_xlfn.XLOOKUP(SALESTABLE[[#This Row],[Product_ID]],ProductsTable[Product_ID],ProductsTable[Unit_Price],WAASIU,0,1)</f>
        <v>3406</v>
      </c>
      <c r="H14" cm="1">
        <f t="array" ref="H14">SALESTABLE[[#This Row],[Quantity]]*_xlfn.XLOOKUP(SALESTABLE[[#This Row],[Product_ID]],ProductsTable[Product_ID],ProductsTable[Cost_Price],WAASIU,0,1)</f>
        <v>1945.04</v>
      </c>
      <c r="I14">
        <f>SALESTABLE[[#This Row],[Revenue]]-SALESTABLE[[#This Row],[COST]]</f>
        <v>1460.96</v>
      </c>
      <c r="J14">
        <f>SALESTABLE[[#This Row],[PROFIT]]/SALESTABLE[[#This Row],[Revenue]]*100</f>
        <v>42.89371697005285</v>
      </c>
    </row>
    <row r="15" spans="1:11" x14ac:dyDescent="0.35">
      <c r="A15" t="s">
        <v>42</v>
      </c>
      <c r="B15" s="4">
        <v>45150</v>
      </c>
      <c r="C15" t="s">
        <v>43</v>
      </c>
      <c r="D15" t="s">
        <v>44</v>
      </c>
      <c r="E15">
        <v>16</v>
      </c>
      <c r="F15">
        <v>20</v>
      </c>
      <c r="G15" cm="1">
        <f t="array" ref="G15">SALESTABLE[[#This Row],[Quantity]]*_xlfn.XLOOKUP(SALESTABLE[[#This Row],[Product_ID]],ProductsTable[Product_ID],ProductsTable[Unit_Price],WAASIU,0,1)</f>
        <v>2147.04</v>
      </c>
      <c r="H15" cm="1">
        <f t="array" ref="H15">SALESTABLE[[#This Row],[Quantity]]*_xlfn.XLOOKUP(SALESTABLE[[#This Row],[Product_ID]],ProductsTable[Product_ID],ProductsTable[Cost_Price],WAASIU,0,1)</f>
        <v>1333.12</v>
      </c>
      <c r="I15">
        <f>SALESTABLE[[#This Row],[Revenue]]-SALESTABLE[[#This Row],[COST]]</f>
        <v>813.92000000000007</v>
      </c>
      <c r="J15">
        <f>SALESTABLE[[#This Row],[PROFIT]]/SALESTABLE[[#This Row],[Revenue]]*100</f>
        <v>37.908935092033687</v>
      </c>
    </row>
    <row r="16" spans="1:11" x14ac:dyDescent="0.35">
      <c r="A16" t="s">
        <v>45</v>
      </c>
      <c r="B16" s="4">
        <v>45536</v>
      </c>
      <c r="C16" t="s">
        <v>46</v>
      </c>
      <c r="D16" t="s">
        <v>8</v>
      </c>
      <c r="E16">
        <v>8</v>
      </c>
      <c r="F16">
        <v>15</v>
      </c>
      <c r="G16" cm="1">
        <f t="array" ref="G16">SALESTABLE[[#This Row],[Quantity]]*_xlfn.XLOOKUP(SALESTABLE[[#This Row],[Product_ID]],ProductsTable[Product_ID],ProductsTable[Unit_Price],WAASIU,0,1)</f>
        <v>2690.56</v>
      </c>
      <c r="H16" cm="1">
        <f t="array" ref="H16">SALESTABLE[[#This Row],[Quantity]]*_xlfn.XLOOKUP(SALESTABLE[[#This Row],[Product_ID]],ProductsTable[Product_ID],ProductsTable[Cost_Price],WAASIU,0,1)</f>
        <v>1822.24</v>
      </c>
      <c r="I16">
        <f>SALESTABLE[[#This Row],[Revenue]]-SALESTABLE[[#This Row],[COST]]</f>
        <v>868.31999999999994</v>
      </c>
      <c r="J16">
        <f>SALESTABLE[[#This Row],[PROFIT]]/SALESTABLE[[#This Row],[Revenue]]*100</f>
        <v>32.272835394862028</v>
      </c>
    </row>
    <row r="17" spans="1:10" x14ac:dyDescent="0.35">
      <c r="A17" t="s">
        <v>47</v>
      </c>
      <c r="B17" s="4">
        <v>45312</v>
      </c>
      <c r="C17" t="s">
        <v>48</v>
      </c>
      <c r="D17" t="s">
        <v>49</v>
      </c>
      <c r="E17">
        <v>6</v>
      </c>
      <c r="F17">
        <v>0</v>
      </c>
      <c r="G17" cm="1">
        <f t="array" ref="G17">SALESTABLE[[#This Row],[Quantity]]*_xlfn.XLOOKUP(SALESTABLE[[#This Row],[Product_ID]],ProductsTable[Product_ID],ProductsTable[Unit_Price],WAASIU,0,1)</f>
        <v>1377.78</v>
      </c>
      <c r="H17" cm="1">
        <f t="array" ref="H17">SALESTABLE[[#This Row],[Quantity]]*_xlfn.XLOOKUP(SALESTABLE[[#This Row],[Product_ID]],ProductsTable[Product_ID],ProductsTable[Cost_Price],WAASIU,0,1)</f>
        <v>788.52</v>
      </c>
      <c r="I17">
        <f>SALESTABLE[[#This Row],[Revenue]]-SALESTABLE[[#This Row],[COST]]</f>
        <v>589.26</v>
      </c>
      <c r="J17">
        <f>SALESTABLE[[#This Row],[PROFIT]]/SALESTABLE[[#This Row],[Revenue]]*100</f>
        <v>42.76880198580325</v>
      </c>
    </row>
    <row r="18" spans="1:10" x14ac:dyDescent="0.35">
      <c r="A18" t="s">
        <v>50</v>
      </c>
      <c r="B18" s="4">
        <v>45114</v>
      </c>
      <c r="C18" t="s">
        <v>51</v>
      </c>
      <c r="D18" t="s">
        <v>52</v>
      </c>
      <c r="E18">
        <v>2</v>
      </c>
      <c r="F18">
        <v>15</v>
      </c>
      <c r="G18" cm="1">
        <f t="array" ref="G18">SALESTABLE[[#This Row],[Quantity]]*_xlfn.XLOOKUP(SALESTABLE[[#This Row],[Product_ID]],ProductsTable[Product_ID],ProductsTable[Unit_Price],WAASIU,0,1)</f>
        <v>367.56</v>
      </c>
      <c r="H18" cm="1">
        <f t="array" ref="H18">SALESTABLE[[#This Row],[Quantity]]*_xlfn.XLOOKUP(SALESTABLE[[#This Row],[Product_ID]],ProductsTable[Product_ID],ProductsTable[Cost_Price],WAASIU,0,1)</f>
        <v>231.26</v>
      </c>
      <c r="I18">
        <f>SALESTABLE[[#This Row],[Revenue]]-SALESTABLE[[#This Row],[COST]]</f>
        <v>136.30000000000001</v>
      </c>
      <c r="J18">
        <f>SALESTABLE[[#This Row],[PROFIT]]/SALESTABLE[[#This Row],[Revenue]]*100</f>
        <v>37.082381107846338</v>
      </c>
    </row>
    <row r="19" spans="1:10" x14ac:dyDescent="0.35">
      <c r="A19" t="s">
        <v>53</v>
      </c>
      <c r="B19" s="4">
        <v>45579</v>
      </c>
      <c r="C19" t="s">
        <v>54</v>
      </c>
      <c r="D19" t="s">
        <v>31</v>
      </c>
      <c r="E19">
        <v>5</v>
      </c>
      <c r="F19">
        <v>0</v>
      </c>
      <c r="G19" cm="1">
        <f t="array" ref="G19">SALESTABLE[[#This Row],[Quantity]]*_xlfn.XLOOKUP(SALESTABLE[[#This Row],[Product_ID]],ProductsTable[Product_ID],ProductsTable[Unit_Price],WAASIU,0,1)</f>
        <v>865.69999999999993</v>
      </c>
      <c r="H19" cm="1">
        <f t="array" ref="H19">SALESTABLE[[#This Row],[Quantity]]*_xlfn.XLOOKUP(SALESTABLE[[#This Row],[Product_ID]],ProductsTable[Product_ID],ProductsTable[Cost_Price],WAASIU,0,1)</f>
        <v>501.45000000000005</v>
      </c>
      <c r="I19">
        <f>SALESTABLE[[#This Row],[Revenue]]-SALESTABLE[[#This Row],[COST]]</f>
        <v>364.24999999999989</v>
      </c>
      <c r="J19">
        <f>SALESTABLE[[#This Row],[PROFIT]]/SALESTABLE[[#This Row],[Revenue]]*100</f>
        <v>42.07577682800045</v>
      </c>
    </row>
    <row r="20" spans="1:10" x14ac:dyDescent="0.35">
      <c r="A20" t="s">
        <v>55</v>
      </c>
      <c r="B20" s="4">
        <v>45152</v>
      </c>
      <c r="C20" t="s">
        <v>38</v>
      </c>
      <c r="D20" t="s">
        <v>16</v>
      </c>
      <c r="E20">
        <v>20</v>
      </c>
      <c r="F20">
        <v>5</v>
      </c>
      <c r="G20" cm="1">
        <f t="array" ref="G20">SALESTABLE[[#This Row],[Quantity]]*_xlfn.XLOOKUP(SALESTABLE[[#This Row],[Product_ID]],ProductsTable[Product_ID],ProductsTable[Unit_Price],WAASIU,0,1)</f>
        <v>7243.4000000000005</v>
      </c>
      <c r="H20" cm="1">
        <f t="array" ref="H20">SALESTABLE[[#This Row],[Quantity]]*_xlfn.XLOOKUP(SALESTABLE[[#This Row],[Product_ID]],ProductsTable[Product_ID],ProductsTable[Cost_Price],WAASIU,0,1)</f>
        <v>4667.6000000000004</v>
      </c>
      <c r="I20">
        <f>SALESTABLE[[#This Row],[Revenue]]-SALESTABLE[[#This Row],[COST]]</f>
        <v>2575.8000000000002</v>
      </c>
      <c r="J20">
        <f>SALESTABLE[[#This Row],[PROFIT]]/SALESTABLE[[#This Row],[Revenue]]*100</f>
        <v>35.560648314327523</v>
      </c>
    </row>
    <row r="21" spans="1:10" x14ac:dyDescent="0.35">
      <c r="A21" t="s">
        <v>56</v>
      </c>
      <c r="B21" s="4">
        <v>45271</v>
      </c>
      <c r="C21" t="s">
        <v>33</v>
      </c>
      <c r="D21" t="s">
        <v>57</v>
      </c>
      <c r="E21">
        <v>7</v>
      </c>
      <c r="F21">
        <v>10</v>
      </c>
      <c r="G21" cm="1">
        <f t="array" ref="G21">SALESTABLE[[#This Row],[Quantity]]*_xlfn.XLOOKUP(SALESTABLE[[#This Row],[Product_ID]],ProductsTable[Product_ID],ProductsTable[Unit_Price],WAASIU,0,1)</f>
        <v>1111.8100000000002</v>
      </c>
      <c r="H21" cm="1">
        <f t="array" ref="H21">SALESTABLE[[#This Row],[Quantity]]*_xlfn.XLOOKUP(SALESTABLE[[#This Row],[Product_ID]],ProductsTable[Product_ID],ProductsTable[Cost_Price],WAASIU,0,1)</f>
        <v>888.57999999999993</v>
      </c>
      <c r="I21">
        <f>SALESTABLE[[#This Row],[Revenue]]-SALESTABLE[[#This Row],[COST]]</f>
        <v>223.23000000000025</v>
      </c>
      <c r="J21">
        <f>SALESTABLE[[#This Row],[PROFIT]]/SALESTABLE[[#This Row],[Revenue]]*100</f>
        <v>20.078070893408064</v>
      </c>
    </row>
    <row r="22" spans="1:10" x14ac:dyDescent="0.35">
      <c r="A22" t="s">
        <v>58</v>
      </c>
      <c r="B22" s="4">
        <v>45427</v>
      </c>
      <c r="C22" t="s">
        <v>59</v>
      </c>
      <c r="D22" t="s">
        <v>31</v>
      </c>
      <c r="E22">
        <v>2</v>
      </c>
      <c r="F22">
        <v>10</v>
      </c>
      <c r="G22" cm="1">
        <f t="array" ref="G22">SALESTABLE[[#This Row],[Quantity]]*_xlfn.XLOOKUP(SALESTABLE[[#This Row],[Product_ID]],ProductsTable[Product_ID],ProductsTable[Unit_Price],WAASIU,0,1)</f>
        <v>346.28</v>
      </c>
      <c r="H22" cm="1">
        <f t="array" ref="H22">SALESTABLE[[#This Row],[Quantity]]*_xlfn.XLOOKUP(SALESTABLE[[#This Row],[Product_ID]],ProductsTable[Product_ID],ProductsTable[Cost_Price],WAASIU,0,1)</f>
        <v>200.58</v>
      </c>
      <c r="I22">
        <f>SALESTABLE[[#This Row],[Revenue]]-SALESTABLE[[#This Row],[COST]]</f>
        <v>145.69999999999996</v>
      </c>
      <c r="J22">
        <f>SALESTABLE[[#This Row],[PROFIT]]/SALESTABLE[[#This Row],[Revenue]]*100</f>
        <v>42.075776828000457</v>
      </c>
    </row>
    <row r="23" spans="1:10" x14ac:dyDescent="0.35">
      <c r="A23" t="s">
        <v>60</v>
      </c>
      <c r="B23" s="4">
        <v>45106</v>
      </c>
      <c r="C23" t="s">
        <v>61</v>
      </c>
      <c r="D23" t="s">
        <v>34</v>
      </c>
      <c r="E23">
        <v>18</v>
      </c>
      <c r="F23">
        <v>10</v>
      </c>
      <c r="G23" cm="1">
        <f t="array" ref="G23">SALESTABLE[[#This Row],[Quantity]]*_xlfn.XLOOKUP(SALESTABLE[[#This Row],[Product_ID]],ProductsTable[Product_ID],ProductsTable[Unit_Price],WAASIU,0,1)</f>
        <v>5917.5</v>
      </c>
      <c r="H23" cm="1">
        <f t="array" ref="H23">SALESTABLE[[#This Row],[Quantity]]*_xlfn.XLOOKUP(SALESTABLE[[#This Row],[Product_ID]],ProductsTable[Product_ID],ProductsTable[Cost_Price],WAASIU,0,1)</f>
        <v>4197.24</v>
      </c>
      <c r="I23">
        <f>SALESTABLE[[#This Row],[Revenue]]-SALESTABLE[[#This Row],[COST]]</f>
        <v>1720.2600000000002</v>
      </c>
      <c r="J23">
        <f>SALESTABLE[[#This Row],[PROFIT]]/SALESTABLE[[#This Row],[Revenue]]*100</f>
        <v>29.070722433460077</v>
      </c>
    </row>
    <row r="24" spans="1:10" x14ac:dyDescent="0.35">
      <c r="A24" t="s">
        <v>62</v>
      </c>
      <c r="B24" s="4">
        <v>45616</v>
      </c>
      <c r="C24" t="s">
        <v>63</v>
      </c>
      <c r="D24" t="s">
        <v>28</v>
      </c>
      <c r="E24">
        <v>1</v>
      </c>
      <c r="F24">
        <v>0</v>
      </c>
      <c r="G24" cm="1">
        <f t="array" ref="G24">SALESTABLE[[#This Row],[Quantity]]*_xlfn.XLOOKUP(SALESTABLE[[#This Row],[Product_ID]],ProductsTable[Product_ID],ProductsTable[Unit_Price],WAASIU,0,1)</f>
        <v>425.48</v>
      </c>
      <c r="H24" cm="1">
        <f t="array" ref="H24">SALESTABLE[[#This Row],[Quantity]]*_xlfn.XLOOKUP(SALESTABLE[[#This Row],[Product_ID]],ProductsTable[Product_ID],ProductsTable[Cost_Price],WAASIU,0,1)</f>
        <v>233.48</v>
      </c>
      <c r="I24">
        <f>SALESTABLE[[#This Row],[Revenue]]-SALESTABLE[[#This Row],[COST]]</f>
        <v>192.00000000000003</v>
      </c>
      <c r="J24">
        <f>SALESTABLE[[#This Row],[PROFIT]]/SALESTABLE[[#This Row],[Revenue]]*100</f>
        <v>45.12550531164802</v>
      </c>
    </row>
    <row r="25" spans="1:10" x14ac:dyDescent="0.35">
      <c r="A25" t="s">
        <v>64</v>
      </c>
      <c r="B25" s="4">
        <v>45189</v>
      </c>
      <c r="C25" t="s">
        <v>65</v>
      </c>
      <c r="D25" t="s">
        <v>49</v>
      </c>
      <c r="E25">
        <v>11</v>
      </c>
      <c r="F25">
        <v>0</v>
      </c>
      <c r="G25" cm="1">
        <f t="array" ref="G25">SALESTABLE[[#This Row],[Quantity]]*_xlfn.XLOOKUP(SALESTABLE[[#This Row],[Product_ID]],ProductsTable[Product_ID],ProductsTable[Unit_Price],WAASIU,0,1)</f>
        <v>2525.9299999999998</v>
      </c>
      <c r="H25" cm="1">
        <f t="array" ref="H25">SALESTABLE[[#This Row],[Quantity]]*_xlfn.XLOOKUP(SALESTABLE[[#This Row],[Product_ID]],ProductsTable[Product_ID],ProductsTable[Cost_Price],WAASIU,0,1)</f>
        <v>1445.62</v>
      </c>
      <c r="I25">
        <f>SALESTABLE[[#This Row],[Revenue]]-SALESTABLE[[#This Row],[COST]]</f>
        <v>1080.31</v>
      </c>
      <c r="J25">
        <f>SALESTABLE[[#This Row],[PROFIT]]/SALESTABLE[[#This Row],[Revenue]]*100</f>
        <v>42.76880198580325</v>
      </c>
    </row>
    <row r="26" spans="1:10" x14ac:dyDescent="0.35">
      <c r="A26" t="s">
        <v>66</v>
      </c>
      <c r="B26" s="4">
        <v>45516</v>
      </c>
      <c r="C26" t="s">
        <v>67</v>
      </c>
      <c r="D26" t="s">
        <v>28</v>
      </c>
      <c r="E26">
        <v>12</v>
      </c>
      <c r="F26">
        <v>20</v>
      </c>
      <c r="G26" cm="1">
        <f t="array" ref="G26">SALESTABLE[[#This Row],[Quantity]]*_xlfn.XLOOKUP(SALESTABLE[[#This Row],[Product_ID]],ProductsTable[Product_ID],ProductsTable[Unit_Price],WAASIU,0,1)</f>
        <v>5105.76</v>
      </c>
      <c r="H26" cm="1">
        <f t="array" ref="H26">SALESTABLE[[#This Row],[Quantity]]*_xlfn.XLOOKUP(SALESTABLE[[#This Row],[Product_ID]],ProductsTable[Product_ID],ProductsTable[Cost_Price],WAASIU,0,1)</f>
        <v>2801.7599999999998</v>
      </c>
      <c r="I26">
        <f>SALESTABLE[[#This Row],[Revenue]]-SALESTABLE[[#This Row],[COST]]</f>
        <v>2304.0000000000005</v>
      </c>
      <c r="J26">
        <f>SALESTABLE[[#This Row],[PROFIT]]/SALESTABLE[[#This Row],[Revenue]]*100</f>
        <v>45.125505311648027</v>
      </c>
    </row>
    <row r="27" spans="1:10" x14ac:dyDescent="0.35">
      <c r="A27" t="s">
        <v>68</v>
      </c>
      <c r="B27" s="4">
        <v>45415</v>
      </c>
      <c r="C27" t="s">
        <v>69</v>
      </c>
      <c r="D27" t="s">
        <v>57</v>
      </c>
      <c r="E27">
        <v>20</v>
      </c>
      <c r="F27">
        <v>10</v>
      </c>
      <c r="G27" cm="1">
        <f t="array" ref="G27">SALESTABLE[[#This Row],[Quantity]]*_xlfn.XLOOKUP(SALESTABLE[[#This Row],[Product_ID]],ProductsTable[Product_ID],ProductsTable[Unit_Price],WAASIU,0,1)</f>
        <v>3176.6000000000004</v>
      </c>
      <c r="H27" cm="1">
        <f t="array" ref="H27">SALESTABLE[[#This Row],[Quantity]]*_xlfn.XLOOKUP(SALESTABLE[[#This Row],[Product_ID]],ProductsTable[Product_ID],ProductsTable[Cost_Price],WAASIU,0,1)</f>
        <v>2538.8000000000002</v>
      </c>
      <c r="I27">
        <f>SALESTABLE[[#This Row],[Revenue]]-SALESTABLE[[#This Row],[COST]]</f>
        <v>637.80000000000018</v>
      </c>
      <c r="J27">
        <f>SALESTABLE[[#This Row],[PROFIT]]/SALESTABLE[[#This Row],[Revenue]]*100</f>
        <v>20.07807089340805</v>
      </c>
    </row>
    <row r="28" spans="1:10" x14ac:dyDescent="0.35">
      <c r="A28" t="s">
        <v>70</v>
      </c>
      <c r="B28" s="4">
        <v>45574</v>
      </c>
      <c r="C28" t="s">
        <v>71</v>
      </c>
      <c r="D28" t="s">
        <v>44</v>
      </c>
      <c r="E28">
        <v>19</v>
      </c>
      <c r="F28">
        <v>10</v>
      </c>
      <c r="G28" cm="1">
        <f t="array" ref="G28">SALESTABLE[[#This Row],[Quantity]]*_xlfn.XLOOKUP(SALESTABLE[[#This Row],[Product_ID]],ProductsTable[Product_ID],ProductsTable[Unit_Price],WAASIU,0,1)</f>
        <v>2549.61</v>
      </c>
      <c r="H28" cm="1">
        <f t="array" ref="H28">SALESTABLE[[#This Row],[Quantity]]*_xlfn.XLOOKUP(SALESTABLE[[#This Row],[Product_ID]],ProductsTable[Product_ID],ProductsTable[Cost_Price],WAASIU,0,1)</f>
        <v>1583.08</v>
      </c>
      <c r="I28">
        <f>SALESTABLE[[#This Row],[Revenue]]-SALESTABLE[[#This Row],[COST]]</f>
        <v>966.5300000000002</v>
      </c>
      <c r="J28">
        <f>SALESTABLE[[#This Row],[PROFIT]]/SALESTABLE[[#This Row],[Revenue]]*100</f>
        <v>37.908935092033694</v>
      </c>
    </row>
    <row r="29" spans="1:10" x14ac:dyDescent="0.35">
      <c r="A29" t="s">
        <v>72</v>
      </c>
      <c r="B29" s="4">
        <v>45364</v>
      </c>
      <c r="C29" t="s">
        <v>73</v>
      </c>
      <c r="D29" t="s">
        <v>74</v>
      </c>
      <c r="E29">
        <v>7</v>
      </c>
      <c r="F29">
        <v>20</v>
      </c>
      <c r="G29" cm="1">
        <f t="array" ref="G29">SALESTABLE[[#This Row],[Quantity]]*_xlfn.XLOOKUP(SALESTABLE[[#This Row],[Product_ID]],ProductsTable[Product_ID],ProductsTable[Unit_Price],WAASIU,0,1)</f>
        <v>301</v>
      </c>
      <c r="H29" cm="1">
        <f t="array" ref="H29">SALESTABLE[[#This Row],[Quantity]]*_xlfn.XLOOKUP(SALESTABLE[[#This Row],[Product_ID]],ProductsTable[Product_ID],ProductsTable[Cost_Price],WAASIU,0,1)</f>
        <v>210.35</v>
      </c>
      <c r="I29">
        <f>SALESTABLE[[#This Row],[Revenue]]-SALESTABLE[[#This Row],[COST]]</f>
        <v>90.65</v>
      </c>
      <c r="J29">
        <f>SALESTABLE[[#This Row],[PROFIT]]/SALESTABLE[[#This Row],[Revenue]]*100</f>
        <v>30.116279069767444</v>
      </c>
    </row>
    <row r="30" spans="1:10" x14ac:dyDescent="0.35">
      <c r="A30" t="s">
        <v>75</v>
      </c>
      <c r="B30" s="4">
        <v>45484</v>
      </c>
      <c r="C30" t="s">
        <v>76</v>
      </c>
      <c r="D30" t="s">
        <v>77</v>
      </c>
      <c r="E30">
        <v>2</v>
      </c>
      <c r="F30">
        <v>5</v>
      </c>
      <c r="G30" cm="1">
        <f t="array" ref="G30">SALESTABLE[[#This Row],[Quantity]]*_xlfn.XLOOKUP(SALESTABLE[[#This Row],[Product_ID]],ProductsTable[Product_ID],ProductsTable[Unit_Price],WAASIU,0,1)</f>
        <v>183.6</v>
      </c>
      <c r="H30" cm="1">
        <f t="array" ref="H30">SALESTABLE[[#This Row],[Quantity]]*_xlfn.XLOOKUP(SALESTABLE[[#This Row],[Product_ID]],ProductsTable[Product_ID],ProductsTable[Cost_Price],WAASIU,0,1)</f>
        <v>97.94</v>
      </c>
      <c r="I30">
        <f>SALESTABLE[[#This Row],[Revenue]]-SALESTABLE[[#This Row],[COST]]</f>
        <v>85.66</v>
      </c>
      <c r="J30">
        <f>SALESTABLE[[#This Row],[PROFIT]]/SALESTABLE[[#This Row],[Revenue]]*100</f>
        <v>46.655773420479299</v>
      </c>
    </row>
    <row r="31" spans="1:10" x14ac:dyDescent="0.35">
      <c r="A31" t="s">
        <v>78</v>
      </c>
      <c r="B31" s="4">
        <v>45187</v>
      </c>
      <c r="C31" t="s">
        <v>79</v>
      </c>
      <c r="D31" t="s">
        <v>13</v>
      </c>
      <c r="E31">
        <v>2</v>
      </c>
      <c r="F31">
        <v>0</v>
      </c>
      <c r="G31" cm="1">
        <f t="array" ref="G31">SALESTABLE[[#This Row],[Quantity]]*_xlfn.XLOOKUP(SALESTABLE[[#This Row],[Product_ID]],ProductsTable[Product_ID],ProductsTable[Unit_Price],WAASIU,0,1)</f>
        <v>870.36</v>
      </c>
      <c r="H31" cm="1">
        <f t="array" ref="H31">SALESTABLE[[#This Row],[Quantity]]*_xlfn.XLOOKUP(SALESTABLE[[#This Row],[Product_ID]],ProductsTable[Product_ID],ProductsTable[Cost_Price],WAASIU,0,1)</f>
        <v>461.9</v>
      </c>
      <c r="I31">
        <f>SALESTABLE[[#This Row],[Revenue]]-SALESTABLE[[#This Row],[COST]]</f>
        <v>408.46000000000004</v>
      </c>
      <c r="J31">
        <f>SALESTABLE[[#This Row],[PROFIT]]/SALESTABLE[[#This Row],[Revenue]]*100</f>
        <v>46.930005974539277</v>
      </c>
    </row>
    <row r="32" spans="1:10" x14ac:dyDescent="0.35">
      <c r="A32" t="s">
        <v>80</v>
      </c>
      <c r="B32" s="4">
        <v>45109</v>
      </c>
      <c r="C32" t="s">
        <v>81</v>
      </c>
      <c r="D32" t="s">
        <v>28</v>
      </c>
      <c r="E32">
        <v>4</v>
      </c>
      <c r="F32">
        <v>10</v>
      </c>
      <c r="G32" cm="1">
        <f t="array" ref="G32">SALESTABLE[[#This Row],[Quantity]]*_xlfn.XLOOKUP(SALESTABLE[[#This Row],[Product_ID]],ProductsTable[Product_ID],ProductsTable[Unit_Price],WAASIU,0,1)</f>
        <v>1701.92</v>
      </c>
      <c r="H32" cm="1">
        <f t="array" ref="H32">SALESTABLE[[#This Row],[Quantity]]*_xlfn.XLOOKUP(SALESTABLE[[#This Row],[Product_ID]],ProductsTable[Product_ID],ProductsTable[Cost_Price],WAASIU,0,1)</f>
        <v>933.92</v>
      </c>
      <c r="I32">
        <f>SALESTABLE[[#This Row],[Revenue]]-SALESTABLE[[#This Row],[COST]]</f>
        <v>768.00000000000011</v>
      </c>
      <c r="J32">
        <f>SALESTABLE[[#This Row],[PROFIT]]/SALESTABLE[[#This Row],[Revenue]]*100</f>
        <v>45.12550531164802</v>
      </c>
    </row>
    <row r="33" spans="1:10" x14ac:dyDescent="0.35">
      <c r="A33" t="s">
        <v>82</v>
      </c>
      <c r="B33" s="4">
        <v>45465</v>
      </c>
      <c r="C33" t="s">
        <v>83</v>
      </c>
      <c r="D33" t="s">
        <v>84</v>
      </c>
      <c r="E33">
        <v>6</v>
      </c>
      <c r="F33">
        <v>10</v>
      </c>
      <c r="G33" cm="1">
        <f t="array" ref="G33">SALESTABLE[[#This Row],[Quantity]]*_xlfn.XLOOKUP(SALESTABLE[[#This Row],[Product_ID]],ProductsTable[Product_ID],ProductsTable[Unit_Price],WAASIU,0,1)</f>
        <v>1613.3999999999999</v>
      </c>
      <c r="H33" cm="1">
        <f t="array" ref="H33">SALESTABLE[[#This Row],[Quantity]]*_xlfn.XLOOKUP(SALESTABLE[[#This Row],[Product_ID]],ProductsTable[Product_ID],ProductsTable[Cost_Price],WAASIU,0,1)</f>
        <v>935.16000000000008</v>
      </c>
      <c r="I33">
        <f>SALESTABLE[[#This Row],[Revenue]]-SALESTABLE[[#This Row],[COST]]</f>
        <v>678.23999999999978</v>
      </c>
      <c r="J33">
        <f>SALESTABLE[[#This Row],[PROFIT]]/SALESTABLE[[#This Row],[Revenue]]*100</f>
        <v>42.037932316846401</v>
      </c>
    </row>
    <row r="34" spans="1:10" x14ac:dyDescent="0.35">
      <c r="A34" t="s">
        <v>85</v>
      </c>
      <c r="B34" s="4">
        <v>45110</v>
      </c>
      <c r="C34" t="s">
        <v>86</v>
      </c>
      <c r="D34" t="s">
        <v>8</v>
      </c>
      <c r="E34">
        <v>15</v>
      </c>
      <c r="F34">
        <v>0</v>
      </c>
      <c r="G34" cm="1">
        <f t="array" ref="G34">SALESTABLE[[#This Row],[Quantity]]*_xlfn.XLOOKUP(SALESTABLE[[#This Row],[Product_ID]],ProductsTable[Product_ID],ProductsTable[Unit_Price],WAASIU,0,1)</f>
        <v>5044.8</v>
      </c>
      <c r="H34" cm="1">
        <f t="array" ref="H34">SALESTABLE[[#This Row],[Quantity]]*_xlfn.XLOOKUP(SALESTABLE[[#This Row],[Product_ID]],ProductsTable[Product_ID],ProductsTable[Cost_Price],WAASIU,0,1)</f>
        <v>3416.7</v>
      </c>
      <c r="I34">
        <f>SALESTABLE[[#This Row],[Revenue]]-SALESTABLE[[#This Row],[COST]]</f>
        <v>1628.1000000000004</v>
      </c>
      <c r="J34">
        <f>SALESTABLE[[#This Row],[PROFIT]]/SALESTABLE[[#This Row],[Revenue]]*100</f>
        <v>32.272835394862042</v>
      </c>
    </row>
    <row r="35" spans="1:10" x14ac:dyDescent="0.35">
      <c r="A35" t="s">
        <v>87</v>
      </c>
      <c r="B35" s="4">
        <v>44969</v>
      </c>
      <c r="C35" t="s">
        <v>88</v>
      </c>
      <c r="D35" t="s">
        <v>8</v>
      </c>
      <c r="E35">
        <v>5</v>
      </c>
      <c r="F35">
        <v>0</v>
      </c>
      <c r="G35" cm="1">
        <f t="array" ref="G35">SALESTABLE[[#This Row],[Quantity]]*_xlfn.XLOOKUP(SALESTABLE[[#This Row],[Product_ID]],ProductsTable[Product_ID],ProductsTable[Unit_Price],WAASIU,0,1)</f>
        <v>1681.6</v>
      </c>
      <c r="H35" cm="1">
        <f t="array" ref="H35">SALESTABLE[[#This Row],[Quantity]]*_xlfn.XLOOKUP(SALESTABLE[[#This Row],[Product_ID]],ProductsTable[Product_ID],ProductsTable[Cost_Price],WAASIU,0,1)</f>
        <v>1138.9000000000001</v>
      </c>
      <c r="I35">
        <f>SALESTABLE[[#This Row],[Revenue]]-SALESTABLE[[#This Row],[COST]]</f>
        <v>542.69999999999982</v>
      </c>
      <c r="J35">
        <f>SALESTABLE[[#This Row],[PROFIT]]/SALESTABLE[[#This Row],[Revenue]]*100</f>
        <v>32.272835394862028</v>
      </c>
    </row>
    <row r="36" spans="1:10" x14ac:dyDescent="0.35">
      <c r="A36" t="s">
        <v>89</v>
      </c>
      <c r="B36" s="4">
        <v>45320</v>
      </c>
      <c r="C36" t="s">
        <v>90</v>
      </c>
      <c r="D36" t="s">
        <v>41</v>
      </c>
      <c r="E36">
        <v>10</v>
      </c>
      <c r="F36">
        <v>15</v>
      </c>
      <c r="G36" cm="1">
        <f t="array" ref="G36">SALESTABLE[[#This Row],[Quantity]]*_xlfn.XLOOKUP(SALESTABLE[[#This Row],[Product_ID]],ProductsTable[Product_ID],ProductsTable[Unit_Price],WAASIU,0,1)</f>
        <v>4257.5</v>
      </c>
      <c r="H36" cm="1">
        <f t="array" ref="H36">SALESTABLE[[#This Row],[Quantity]]*_xlfn.XLOOKUP(SALESTABLE[[#This Row],[Product_ID]],ProductsTable[Product_ID],ProductsTable[Cost_Price],WAASIU,0,1)</f>
        <v>2431.3000000000002</v>
      </c>
      <c r="I36">
        <f>SALESTABLE[[#This Row],[Revenue]]-SALESTABLE[[#This Row],[COST]]</f>
        <v>1826.1999999999998</v>
      </c>
      <c r="J36">
        <f>SALESTABLE[[#This Row],[PROFIT]]/SALESTABLE[[#This Row],[Revenue]]*100</f>
        <v>42.893716970052843</v>
      </c>
    </row>
    <row r="37" spans="1:10" x14ac:dyDescent="0.35">
      <c r="A37" t="s">
        <v>91</v>
      </c>
      <c r="B37" s="4">
        <v>45388</v>
      </c>
      <c r="C37" t="s">
        <v>92</v>
      </c>
      <c r="D37" t="s">
        <v>93</v>
      </c>
      <c r="E37">
        <v>10</v>
      </c>
      <c r="F37">
        <v>20</v>
      </c>
      <c r="G37" cm="1">
        <f t="array" ref="G37">SALESTABLE[[#This Row],[Quantity]]*_xlfn.XLOOKUP(SALESTABLE[[#This Row],[Product_ID]],ProductsTable[Product_ID],ProductsTable[Unit_Price],WAASIU,0,1)</f>
        <v>2140.3000000000002</v>
      </c>
      <c r="H37" cm="1">
        <f t="array" ref="H37">SALESTABLE[[#This Row],[Quantity]]*_xlfn.XLOOKUP(SALESTABLE[[#This Row],[Product_ID]],ProductsTable[Product_ID],ProductsTable[Cost_Price],WAASIU,0,1)</f>
        <v>1567.1000000000001</v>
      </c>
      <c r="I37">
        <f>SALESTABLE[[#This Row],[Revenue]]-SALESTABLE[[#This Row],[COST]]</f>
        <v>573.20000000000005</v>
      </c>
      <c r="J37">
        <f>SALESTABLE[[#This Row],[PROFIT]]/SALESTABLE[[#This Row],[Revenue]]*100</f>
        <v>26.781292342195016</v>
      </c>
    </row>
    <row r="38" spans="1:10" x14ac:dyDescent="0.35">
      <c r="A38" t="s">
        <v>94</v>
      </c>
      <c r="B38" s="4">
        <v>45346</v>
      </c>
      <c r="C38" t="s">
        <v>51</v>
      </c>
      <c r="D38" t="s">
        <v>8</v>
      </c>
      <c r="E38">
        <v>3</v>
      </c>
      <c r="F38">
        <v>10</v>
      </c>
      <c r="G38" cm="1">
        <f t="array" ref="G38">SALESTABLE[[#This Row],[Quantity]]*_xlfn.XLOOKUP(SALESTABLE[[#This Row],[Product_ID]],ProductsTable[Product_ID],ProductsTable[Unit_Price],WAASIU,0,1)</f>
        <v>1008.96</v>
      </c>
      <c r="H38" cm="1">
        <f t="array" ref="H38">SALESTABLE[[#This Row],[Quantity]]*_xlfn.XLOOKUP(SALESTABLE[[#This Row],[Product_ID]],ProductsTable[Product_ID],ProductsTable[Cost_Price],WAASIU,0,1)</f>
        <v>683.34</v>
      </c>
      <c r="I38">
        <f>SALESTABLE[[#This Row],[Revenue]]-SALESTABLE[[#This Row],[COST]]</f>
        <v>325.62</v>
      </c>
      <c r="J38">
        <f>SALESTABLE[[#This Row],[PROFIT]]/SALESTABLE[[#This Row],[Revenue]]*100</f>
        <v>32.272835394862035</v>
      </c>
    </row>
    <row r="39" spans="1:10" x14ac:dyDescent="0.35">
      <c r="A39" t="s">
        <v>95</v>
      </c>
      <c r="B39" s="4">
        <v>45522</v>
      </c>
      <c r="C39" t="s">
        <v>96</v>
      </c>
      <c r="D39" t="s">
        <v>97</v>
      </c>
      <c r="E39">
        <v>6</v>
      </c>
      <c r="F39">
        <v>20</v>
      </c>
      <c r="G39" cm="1">
        <f t="array" ref="G39">SALESTABLE[[#This Row],[Quantity]]*_xlfn.XLOOKUP(SALESTABLE[[#This Row],[Product_ID]],ProductsTable[Product_ID],ProductsTable[Unit_Price],WAASIU,0,1)</f>
        <v>1861.2599999999998</v>
      </c>
      <c r="H39" cm="1">
        <f t="array" ref="H39">SALESTABLE[[#This Row],[Quantity]]*_xlfn.XLOOKUP(SALESTABLE[[#This Row],[Product_ID]],ProductsTable[Product_ID],ProductsTable[Cost_Price],WAASIU,0,1)</f>
        <v>1351.74</v>
      </c>
      <c r="I39">
        <f>SALESTABLE[[#This Row],[Revenue]]-SALESTABLE[[#This Row],[COST]]</f>
        <v>509.51999999999975</v>
      </c>
      <c r="J39">
        <f>SALESTABLE[[#This Row],[PROFIT]]/SALESTABLE[[#This Row],[Revenue]]*100</f>
        <v>27.375004029528377</v>
      </c>
    </row>
    <row r="40" spans="1:10" x14ac:dyDescent="0.35">
      <c r="A40" t="s">
        <v>98</v>
      </c>
      <c r="B40" s="4">
        <v>45459</v>
      </c>
      <c r="C40" t="s">
        <v>99</v>
      </c>
      <c r="D40" t="s">
        <v>100</v>
      </c>
      <c r="E40">
        <v>12</v>
      </c>
      <c r="F40">
        <v>10</v>
      </c>
      <c r="G40" cm="1">
        <f t="array" ref="G40">SALESTABLE[[#This Row],[Quantity]]*_xlfn.XLOOKUP(SALESTABLE[[#This Row],[Product_ID]],ProductsTable[Product_ID],ProductsTable[Unit_Price],WAASIU,0,1)</f>
        <v>4911.84</v>
      </c>
      <c r="H40" cm="1">
        <f t="array" ref="H40">SALESTABLE[[#This Row],[Quantity]]*_xlfn.XLOOKUP(SALESTABLE[[#This Row],[Product_ID]],ProductsTable[Product_ID],ProductsTable[Cost_Price],WAASIU,0,1)</f>
        <v>2551.8000000000002</v>
      </c>
      <c r="I40">
        <f>SALESTABLE[[#This Row],[Revenue]]-SALESTABLE[[#This Row],[COST]]</f>
        <v>2360.04</v>
      </c>
      <c r="J40">
        <f>SALESTABLE[[#This Row],[PROFIT]]/SALESTABLE[[#This Row],[Revenue]]*100</f>
        <v>48.047982018958265</v>
      </c>
    </row>
    <row r="41" spans="1:10" x14ac:dyDescent="0.35">
      <c r="A41" t="s">
        <v>101</v>
      </c>
      <c r="B41" s="4">
        <v>45349</v>
      </c>
      <c r="C41" t="s">
        <v>102</v>
      </c>
      <c r="D41" t="s">
        <v>84</v>
      </c>
      <c r="E41">
        <v>1</v>
      </c>
      <c r="F41">
        <v>5</v>
      </c>
      <c r="G41" cm="1">
        <f t="array" ref="G41">SALESTABLE[[#This Row],[Quantity]]*_xlfn.XLOOKUP(SALESTABLE[[#This Row],[Product_ID]],ProductsTable[Product_ID],ProductsTable[Unit_Price],WAASIU,0,1)</f>
        <v>268.89999999999998</v>
      </c>
      <c r="H41" cm="1">
        <f t="array" ref="H41">SALESTABLE[[#This Row],[Quantity]]*_xlfn.XLOOKUP(SALESTABLE[[#This Row],[Product_ID]],ProductsTable[Product_ID],ProductsTable[Cost_Price],WAASIU,0,1)</f>
        <v>155.86000000000001</v>
      </c>
      <c r="I41">
        <f>SALESTABLE[[#This Row],[Revenue]]-SALESTABLE[[#This Row],[COST]]</f>
        <v>113.03999999999996</v>
      </c>
      <c r="J41">
        <f>SALESTABLE[[#This Row],[PROFIT]]/SALESTABLE[[#This Row],[Revenue]]*100</f>
        <v>42.037932316846401</v>
      </c>
    </row>
    <row r="42" spans="1:10" x14ac:dyDescent="0.35">
      <c r="A42" t="s">
        <v>103</v>
      </c>
      <c r="B42" s="4">
        <v>44985</v>
      </c>
      <c r="C42" t="s">
        <v>104</v>
      </c>
      <c r="D42" t="s">
        <v>11</v>
      </c>
      <c r="E42">
        <v>18</v>
      </c>
      <c r="F42">
        <v>10</v>
      </c>
      <c r="G42" cm="1">
        <f t="array" ref="G42">SALESTABLE[[#This Row],[Quantity]]*_xlfn.XLOOKUP(SALESTABLE[[#This Row],[Product_ID]],ProductsTable[Product_ID],ProductsTable[Unit_Price],WAASIU,0,1)</f>
        <v>8590.86</v>
      </c>
      <c r="H42" cm="1">
        <f t="array" ref="H42">SALESTABLE[[#This Row],[Quantity]]*_xlfn.XLOOKUP(SALESTABLE[[#This Row],[Product_ID]],ProductsTable[Product_ID],ProductsTable[Cost_Price],WAASIU,0,1)</f>
        <v>5379.12</v>
      </c>
      <c r="I42">
        <f>SALESTABLE[[#This Row],[Revenue]]-SALESTABLE[[#This Row],[COST]]</f>
        <v>3211.7400000000007</v>
      </c>
      <c r="J42">
        <f>SALESTABLE[[#This Row],[PROFIT]]/SALESTABLE[[#This Row],[Revenue]]*100</f>
        <v>37.385546965030279</v>
      </c>
    </row>
    <row r="43" spans="1:10" x14ac:dyDescent="0.35">
      <c r="A43" t="s">
        <v>105</v>
      </c>
      <c r="B43" s="4">
        <v>45247</v>
      </c>
      <c r="C43" t="s">
        <v>106</v>
      </c>
      <c r="D43" t="s">
        <v>107</v>
      </c>
      <c r="E43">
        <v>1</v>
      </c>
      <c r="F43">
        <v>10</v>
      </c>
      <c r="G43" cm="1">
        <f t="array" ref="G43">SALESTABLE[[#This Row],[Quantity]]*_xlfn.XLOOKUP(SALESTABLE[[#This Row],[Product_ID]],ProductsTable[Product_ID],ProductsTable[Unit_Price],WAASIU,0,1)</f>
        <v>65.010000000000005</v>
      </c>
      <c r="H43" cm="1">
        <f t="array" ref="H43">SALESTABLE[[#This Row],[Quantity]]*_xlfn.XLOOKUP(SALESTABLE[[#This Row],[Product_ID]],ProductsTable[Product_ID],ProductsTable[Cost_Price],WAASIU,0,1)</f>
        <v>36.83</v>
      </c>
      <c r="I43">
        <f>SALESTABLE[[#This Row],[Revenue]]-SALESTABLE[[#This Row],[COST]]</f>
        <v>28.180000000000007</v>
      </c>
      <c r="J43">
        <f>SALESTABLE[[#This Row],[PROFIT]]/SALESTABLE[[#This Row],[Revenue]]*100</f>
        <v>43.347177357329649</v>
      </c>
    </row>
    <row r="44" spans="1:10" x14ac:dyDescent="0.35">
      <c r="A44" t="s">
        <v>108</v>
      </c>
      <c r="B44" s="4">
        <v>45377</v>
      </c>
      <c r="C44" t="s">
        <v>79</v>
      </c>
      <c r="D44" t="s">
        <v>34</v>
      </c>
      <c r="E44">
        <v>15</v>
      </c>
      <c r="F44">
        <v>20</v>
      </c>
      <c r="G44" cm="1">
        <f t="array" ref="G44">SALESTABLE[[#This Row],[Quantity]]*_xlfn.XLOOKUP(SALESTABLE[[#This Row],[Product_ID]],ProductsTable[Product_ID],ProductsTable[Unit_Price],WAASIU,0,1)</f>
        <v>4931.25</v>
      </c>
      <c r="H44" cm="1">
        <f t="array" ref="H44">SALESTABLE[[#This Row],[Quantity]]*_xlfn.XLOOKUP(SALESTABLE[[#This Row],[Product_ID]],ProductsTable[Product_ID],ProductsTable[Cost_Price],WAASIU,0,1)</f>
        <v>3497.7000000000003</v>
      </c>
      <c r="I44">
        <f>SALESTABLE[[#This Row],[Revenue]]-SALESTABLE[[#This Row],[COST]]</f>
        <v>1433.5499999999997</v>
      </c>
      <c r="J44">
        <f>SALESTABLE[[#This Row],[PROFIT]]/SALESTABLE[[#This Row],[Revenue]]*100</f>
        <v>29.070722433460073</v>
      </c>
    </row>
    <row r="45" spans="1:10" x14ac:dyDescent="0.35">
      <c r="A45" t="s">
        <v>109</v>
      </c>
      <c r="B45" s="4">
        <v>45603</v>
      </c>
      <c r="C45" t="s">
        <v>90</v>
      </c>
      <c r="D45" t="s">
        <v>110</v>
      </c>
      <c r="E45">
        <v>20</v>
      </c>
      <c r="F45">
        <v>10</v>
      </c>
      <c r="G45" cm="1">
        <f t="array" ref="G45">SALESTABLE[[#This Row],[Quantity]]*_xlfn.XLOOKUP(SALESTABLE[[#This Row],[Product_ID]],ProductsTable[Product_ID],ProductsTable[Unit_Price],WAASIU,0,1)</f>
        <v>9826.4</v>
      </c>
      <c r="H45" cm="1">
        <f t="array" ref="H45">SALESTABLE[[#This Row],[Quantity]]*_xlfn.XLOOKUP(SALESTABLE[[#This Row],[Product_ID]],ProductsTable[Product_ID],ProductsTable[Cost_Price],WAASIU,0,1)</f>
        <v>5362.2000000000007</v>
      </c>
      <c r="I45">
        <f>SALESTABLE[[#This Row],[Revenue]]-SALESTABLE[[#This Row],[COST]]</f>
        <v>4464.1999999999989</v>
      </c>
      <c r="J45">
        <f>SALESTABLE[[#This Row],[PROFIT]]/SALESTABLE[[#This Row],[Revenue]]*100</f>
        <v>45.430676544818034</v>
      </c>
    </row>
    <row r="46" spans="1:10" x14ac:dyDescent="0.35">
      <c r="A46" t="s">
        <v>111</v>
      </c>
      <c r="B46" s="4">
        <v>45109</v>
      </c>
      <c r="C46" t="s">
        <v>112</v>
      </c>
      <c r="D46" t="s">
        <v>113</v>
      </c>
      <c r="E46">
        <v>17</v>
      </c>
      <c r="F46">
        <v>0</v>
      </c>
      <c r="G46" cm="1">
        <f t="array" ref="G46">SALESTABLE[[#This Row],[Quantity]]*_xlfn.XLOOKUP(SALESTABLE[[#This Row],[Product_ID]],ProductsTable[Product_ID],ProductsTable[Unit_Price],WAASIU,0,1)</f>
        <v>5730.53</v>
      </c>
      <c r="H46" cm="1">
        <f t="array" ref="H46">SALESTABLE[[#This Row],[Quantity]]*_xlfn.XLOOKUP(SALESTABLE[[#This Row],[Product_ID]],ProductsTable[Product_ID],ProductsTable[Cost_Price],WAASIU,0,1)</f>
        <v>3168.97</v>
      </c>
      <c r="I46">
        <f>SALESTABLE[[#This Row],[Revenue]]-SALESTABLE[[#This Row],[COST]]</f>
        <v>2561.56</v>
      </c>
      <c r="J46">
        <f>SALESTABLE[[#This Row],[PROFIT]]/SALESTABLE[[#This Row],[Revenue]]*100</f>
        <v>44.700228425643004</v>
      </c>
    </row>
    <row r="47" spans="1:10" x14ac:dyDescent="0.35">
      <c r="A47" t="s">
        <v>114</v>
      </c>
      <c r="B47" s="4">
        <v>45334</v>
      </c>
      <c r="C47" t="s">
        <v>65</v>
      </c>
      <c r="D47" t="s">
        <v>16</v>
      </c>
      <c r="E47">
        <v>10</v>
      </c>
      <c r="F47">
        <v>10</v>
      </c>
      <c r="G47" cm="1">
        <f t="array" ref="G47">SALESTABLE[[#This Row],[Quantity]]*_xlfn.XLOOKUP(SALESTABLE[[#This Row],[Product_ID]],ProductsTable[Product_ID],ProductsTable[Unit_Price],WAASIU,0,1)</f>
        <v>3621.7000000000003</v>
      </c>
      <c r="H47" cm="1">
        <f t="array" ref="H47">SALESTABLE[[#This Row],[Quantity]]*_xlfn.XLOOKUP(SALESTABLE[[#This Row],[Product_ID]],ProductsTable[Product_ID],ProductsTable[Cost_Price],WAASIU,0,1)</f>
        <v>2333.8000000000002</v>
      </c>
      <c r="I47">
        <f>SALESTABLE[[#This Row],[Revenue]]-SALESTABLE[[#This Row],[COST]]</f>
        <v>1287.9000000000001</v>
      </c>
      <c r="J47">
        <f>SALESTABLE[[#This Row],[PROFIT]]/SALESTABLE[[#This Row],[Revenue]]*100</f>
        <v>35.560648314327523</v>
      </c>
    </row>
    <row r="48" spans="1:10" x14ac:dyDescent="0.35">
      <c r="A48" t="s">
        <v>115</v>
      </c>
      <c r="B48" s="4">
        <v>45044</v>
      </c>
      <c r="C48" t="s">
        <v>116</v>
      </c>
      <c r="D48" t="s">
        <v>19</v>
      </c>
      <c r="E48">
        <v>10</v>
      </c>
      <c r="F48">
        <v>5</v>
      </c>
      <c r="G48" cm="1">
        <f t="array" ref="G48">SALESTABLE[[#This Row],[Quantity]]*_xlfn.XLOOKUP(SALESTABLE[[#This Row],[Product_ID]],ProductsTable[Product_ID],ProductsTable[Unit_Price],WAASIU,0,1)</f>
        <v>607.6</v>
      </c>
      <c r="H48" cm="1">
        <f t="array" ref="H48">SALESTABLE[[#This Row],[Quantity]]*_xlfn.XLOOKUP(SALESTABLE[[#This Row],[Product_ID]],ProductsTable[Product_ID],ProductsTable[Cost_Price],WAASIU,0,1)</f>
        <v>404.5</v>
      </c>
      <c r="I48">
        <f>SALESTABLE[[#This Row],[Revenue]]-SALESTABLE[[#This Row],[COST]]</f>
        <v>203.10000000000002</v>
      </c>
      <c r="J48">
        <f>SALESTABLE[[#This Row],[PROFIT]]/SALESTABLE[[#This Row],[Revenue]]*100</f>
        <v>33.426596445029624</v>
      </c>
    </row>
    <row r="49" spans="1:16" x14ac:dyDescent="0.35">
      <c r="A49" t="s">
        <v>117</v>
      </c>
      <c r="B49" s="4">
        <v>45176</v>
      </c>
      <c r="C49" t="s">
        <v>118</v>
      </c>
      <c r="D49" t="s">
        <v>49</v>
      </c>
      <c r="E49">
        <v>12</v>
      </c>
      <c r="F49">
        <v>0</v>
      </c>
      <c r="G49" cm="1">
        <f t="array" ref="G49">SALESTABLE[[#This Row],[Quantity]]*_xlfn.XLOOKUP(SALESTABLE[[#This Row],[Product_ID]],ProductsTable[Product_ID],ProductsTable[Unit_Price],WAASIU,0,1)</f>
        <v>2755.56</v>
      </c>
      <c r="H49" cm="1">
        <f t="array" ref="H49">SALESTABLE[[#This Row],[Quantity]]*_xlfn.XLOOKUP(SALESTABLE[[#This Row],[Product_ID]],ProductsTable[Product_ID],ProductsTable[Cost_Price],WAASIU,0,1)</f>
        <v>1577.04</v>
      </c>
      <c r="I49">
        <f>SALESTABLE[[#This Row],[Revenue]]-SALESTABLE[[#This Row],[COST]]</f>
        <v>1178.52</v>
      </c>
      <c r="J49">
        <f>SALESTABLE[[#This Row],[PROFIT]]/SALESTABLE[[#This Row],[Revenue]]*100</f>
        <v>42.76880198580325</v>
      </c>
    </row>
    <row r="50" spans="1:16" x14ac:dyDescent="0.35">
      <c r="A50" t="s">
        <v>119</v>
      </c>
      <c r="B50" s="4">
        <v>45220</v>
      </c>
      <c r="C50" t="s">
        <v>120</v>
      </c>
      <c r="D50" t="s">
        <v>57</v>
      </c>
      <c r="E50">
        <v>1</v>
      </c>
      <c r="F50">
        <v>0</v>
      </c>
      <c r="G50" cm="1">
        <f t="array" ref="G50">SALESTABLE[[#This Row],[Quantity]]*_xlfn.XLOOKUP(SALESTABLE[[#This Row],[Product_ID]],ProductsTable[Product_ID],ProductsTable[Unit_Price],WAASIU,0,1)</f>
        <v>158.83000000000001</v>
      </c>
      <c r="H50" cm="1">
        <f t="array" ref="H50">SALESTABLE[[#This Row],[Quantity]]*_xlfn.XLOOKUP(SALESTABLE[[#This Row],[Product_ID]],ProductsTable[Product_ID],ProductsTable[Cost_Price],WAASIU,0,1)</f>
        <v>126.94</v>
      </c>
      <c r="I50">
        <f>SALESTABLE[[#This Row],[Revenue]]-SALESTABLE[[#This Row],[COST]]</f>
        <v>31.890000000000015</v>
      </c>
      <c r="J50">
        <f>SALESTABLE[[#This Row],[PROFIT]]/SALESTABLE[[#This Row],[Revenue]]*100</f>
        <v>20.078070893408054</v>
      </c>
    </row>
    <row r="51" spans="1:16" x14ac:dyDescent="0.35">
      <c r="A51" t="s">
        <v>121</v>
      </c>
      <c r="B51" s="4">
        <v>45418</v>
      </c>
      <c r="C51" t="s">
        <v>122</v>
      </c>
      <c r="D51" t="s">
        <v>44</v>
      </c>
      <c r="E51">
        <v>17</v>
      </c>
      <c r="F51">
        <v>15</v>
      </c>
      <c r="G51" cm="1">
        <f t="array" ref="G51">SALESTABLE[[#This Row],[Quantity]]*_xlfn.XLOOKUP(SALESTABLE[[#This Row],[Product_ID]],ProductsTable[Product_ID],ProductsTable[Unit_Price],WAASIU,0,1)</f>
        <v>2281.23</v>
      </c>
      <c r="H51" cm="1">
        <f t="array" ref="H51">SALESTABLE[[#This Row],[Quantity]]*_xlfn.XLOOKUP(SALESTABLE[[#This Row],[Product_ID]],ProductsTable[Product_ID],ProductsTable[Cost_Price],WAASIU,0,1)</f>
        <v>1416.4399999999998</v>
      </c>
      <c r="I51">
        <f>SALESTABLE[[#This Row],[Revenue]]-SALESTABLE[[#This Row],[COST]]</f>
        <v>864.79000000000019</v>
      </c>
      <c r="J51">
        <f>SALESTABLE[[#This Row],[PROFIT]]/SALESTABLE[[#This Row],[Revenue]]*100</f>
        <v>37.908935092033694</v>
      </c>
    </row>
    <row r="52" spans="1:16" x14ac:dyDescent="0.35">
      <c r="A52" t="s">
        <v>123</v>
      </c>
      <c r="B52" s="4">
        <v>45352</v>
      </c>
      <c r="C52" t="s">
        <v>79</v>
      </c>
      <c r="D52" t="s">
        <v>28</v>
      </c>
      <c r="E52">
        <v>18</v>
      </c>
      <c r="F52">
        <v>0</v>
      </c>
      <c r="G52" cm="1">
        <f t="array" ref="G52">SALESTABLE[[#This Row],[Quantity]]*_xlfn.XLOOKUP(SALESTABLE[[#This Row],[Product_ID]],ProductsTable[Product_ID],ProductsTable[Unit_Price],WAASIU,0,1)</f>
        <v>7658.64</v>
      </c>
      <c r="H52" cm="1">
        <f t="array" ref="H52">SALESTABLE[[#This Row],[Quantity]]*_xlfn.XLOOKUP(SALESTABLE[[#This Row],[Product_ID]],ProductsTable[Product_ID],ProductsTable[Cost_Price],WAASIU,0,1)</f>
        <v>4202.6399999999994</v>
      </c>
      <c r="I52">
        <f>SALESTABLE[[#This Row],[Revenue]]-SALESTABLE[[#This Row],[COST]]</f>
        <v>3456.0000000000009</v>
      </c>
      <c r="J52">
        <f>SALESTABLE[[#This Row],[PROFIT]]/SALESTABLE[[#This Row],[Revenue]]*100</f>
        <v>45.125505311648027</v>
      </c>
    </row>
    <row r="53" spans="1:16" x14ac:dyDescent="0.35">
      <c r="A53" t="s">
        <v>124</v>
      </c>
      <c r="B53" s="4">
        <v>45249</v>
      </c>
      <c r="C53" t="s">
        <v>36</v>
      </c>
      <c r="D53" t="s">
        <v>125</v>
      </c>
      <c r="E53">
        <v>5</v>
      </c>
      <c r="F53">
        <v>5</v>
      </c>
      <c r="G53" cm="1">
        <f t="array" ref="G53">SALESTABLE[[#This Row],[Quantity]]*_xlfn.XLOOKUP(SALESTABLE[[#This Row],[Product_ID]],ProductsTable[Product_ID],ProductsTable[Unit_Price],WAASIU,0,1)</f>
        <v>1673.5</v>
      </c>
      <c r="H53" cm="1">
        <f t="array" ref="H53">SALESTABLE[[#This Row],[Quantity]]*_xlfn.XLOOKUP(SALESTABLE[[#This Row],[Product_ID]],ProductsTable[Product_ID],ProductsTable[Cost_Price],WAASIU,0,1)</f>
        <v>1247.6000000000001</v>
      </c>
      <c r="I53">
        <f>SALESTABLE[[#This Row],[Revenue]]-SALESTABLE[[#This Row],[COST]]</f>
        <v>425.89999999999986</v>
      </c>
      <c r="J53">
        <f>SALESTABLE[[#This Row],[PROFIT]]/SALESTABLE[[#This Row],[Revenue]]*100</f>
        <v>25.449656408724223</v>
      </c>
    </row>
    <row r="54" spans="1:16" x14ac:dyDescent="0.35">
      <c r="A54" t="s">
        <v>126</v>
      </c>
      <c r="B54" s="4">
        <v>45201</v>
      </c>
      <c r="C54" t="s">
        <v>59</v>
      </c>
      <c r="D54" t="s">
        <v>127</v>
      </c>
      <c r="E54">
        <v>7</v>
      </c>
      <c r="F54">
        <v>5</v>
      </c>
      <c r="G54" cm="1">
        <f t="array" ref="G54">SALESTABLE[[#This Row],[Quantity]]*_xlfn.XLOOKUP(SALESTABLE[[#This Row],[Product_ID]],ProductsTable[Product_ID],ProductsTable[Unit_Price],WAASIU,0,1)</f>
        <v>644.49</v>
      </c>
      <c r="H54" cm="1">
        <f t="array" ref="H54">SALESTABLE[[#This Row],[Quantity]]*_xlfn.XLOOKUP(SALESTABLE[[#This Row],[Product_ID]],ProductsTable[Product_ID],ProductsTable[Cost_Price],WAASIU,0,1)</f>
        <v>394.52</v>
      </c>
      <c r="I54">
        <f>SALESTABLE[[#This Row],[Revenue]]-SALESTABLE[[#This Row],[COST]]</f>
        <v>249.97000000000003</v>
      </c>
      <c r="J54">
        <f>SALESTABLE[[#This Row],[PROFIT]]/SALESTABLE[[#This Row],[Revenue]]*100</f>
        <v>38.78570652764202</v>
      </c>
    </row>
    <row r="55" spans="1:16" x14ac:dyDescent="0.35">
      <c r="A55" t="s">
        <v>128</v>
      </c>
      <c r="B55" s="4">
        <v>45120</v>
      </c>
      <c r="C55" t="s">
        <v>129</v>
      </c>
      <c r="D55" t="s">
        <v>19</v>
      </c>
      <c r="E55">
        <v>18</v>
      </c>
      <c r="F55">
        <v>15</v>
      </c>
      <c r="G55" cm="1">
        <f t="array" ref="G55">SALESTABLE[[#This Row],[Quantity]]*_xlfn.XLOOKUP(SALESTABLE[[#This Row],[Product_ID]],ProductsTable[Product_ID],ProductsTable[Unit_Price],WAASIU,0,1)</f>
        <v>1093.68</v>
      </c>
      <c r="H55" cm="1">
        <f t="array" ref="H55">SALESTABLE[[#This Row],[Quantity]]*_xlfn.XLOOKUP(SALESTABLE[[#This Row],[Product_ID]],ProductsTable[Product_ID],ProductsTable[Cost_Price],WAASIU,0,1)</f>
        <v>728.1</v>
      </c>
      <c r="I55">
        <f>SALESTABLE[[#This Row],[Revenue]]-SALESTABLE[[#This Row],[COST]]</f>
        <v>365.58000000000004</v>
      </c>
      <c r="J55">
        <f>SALESTABLE[[#This Row],[PROFIT]]/SALESTABLE[[#This Row],[Revenue]]*100</f>
        <v>33.426596445029624</v>
      </c>
    </row>
    <row r="56" spans="1:16" x14ac:dyDescent="0.35">
      <c r="A56" t="s">
        <v>130</v>
      </c>
      <c r="B56" s="4">
        <v>45512</v>
      </c>
      <c r="C56" t="s">
        <v>131</v>
      </c>
      <c r="D56" t="s">
        <v>52</v>
      </c>
      <c r="E56">
        <v>4</v>
      </c>
      <c r="F56">
        <v>0</v>
      </c>
      <c r="G56" cm="1">
        <f t="array" ref="G56">SALESTABLE[[#This Row],[Quantity]]*_xlfn.XLOOKUP(SALESTABLE[[#This Row],[Product_ID]],ProductsTable[Product_ID],ProductsTable[Unit_Price],WAASIU,0,1)</f>
        <v>735.12</v>
      </c>
      <c r="H56" cm="1">
        <f t="array" ref="H56">SALESTABLE[[#This Row],[Quantity]]*_xlfn.XLOOKUP(SALESTABLE[[#This Row],[Product_ID]],ProductsTable[Product_ID],ProductsTable[Cost_Price],WAASIU,0,1)</f>
        <v>462.52</v>
      </c>
      <c r="I56">
        <f>SALESTABLE[[#This Row],[Revenue]]-SALESTABLE[[#This Row],[COST]]</f>
        <v>272.60000000000002</v>
      </c>
      <c r="J56">
        <f>SALESTABLE[[#This Row],[PROFIT]]/SALESTABLE[[#This Row],[Revenue]]*100</f>
        <v>37.082381107846338</v>
      </c>
    </row>
    <row r="57" spans="1:16" x14ac:dyDescent="0.35">
      <c r="A57" t="s">
        <v>132</v>
      </c>
      <c r="B57" s="4">
        <v>45328</v>
      </c>
      <c r="C57" t="s">
        <v>21</v>
      </c>
      <c r="D57" t="s">
        <v>133</v>
      </c>
      <c r="E57">
        <v>9</v>
      </c>
      <c r="F57">
        <v>5</v>
      </c>
      <c r="G57" cm="1">
        <f t="array" ref="G57">SALESTABLE[[#This Row],[Quantity]]*_xlfn.XLOOKUP(SALESTABLE[[#This Row],[Product_ID]],ProductsTable[Product_ID],ProductsTable[Unit_Price],WAASIU,0,1)</f>
        <v>3159</v>
      </c>
      <c r="H57" cm="1">
        <f t="array" ref="H57">SALESTABLE[[#This Row],[Quantity]]*_xlfn.XLOOKUP(SALESTABLE[[#This Row],[Product_ID]],ProductsTable[Product_ID],ProductsTable[Cost_Price],WAASIU,0,1)</f>
        <v>2102.67</v>
      </c>
      <c r="I57">
        <f>SALESTABLE[[#This Row],[Revenue]]-SALESTABLE[[#This Row],[COST]]</f>
        <v>1056.33</v>
      </c>
      <c r="J57">
        <f>SALESTABLE[[#This Row],[PROFIT]]/SALESTABLE[[#This Row],[Revenue]]*100</f>
        <v>33.438746438746435</v>
      </c>
    </row>
    <row r="58" spans="1:16" x14ac:dyDescent="0.35">
      <c r="A58" t="s">
        <v>134</v>
      </c>
      <c r="B58" s="4">
        <v>45565</v>
      </c>
      <c r="C58" t="s">
        <v>46</v>
      </c>
      <c r="D58" t="s">
        <v>28</v>
      </c>
      <c r="E58">
        <v>19</v>
      </c>
      <c r="F58">
        <v>20</v>
      </c>
      <c r="G58" cm="1">
        <f t="array" ref="G58">SALESTABLE[[#This Row],[Quantity]]*_xlfn.XLOOKUP(SALESTABLE[[#This Row],[Product_ID]],ProductsTable[Product_ID],ProductsTable[Unit_Price],WAASIU,0,1)</f>
        <v>8084.1200000000008</v>
      </c>
      <c r="H58" cm="1">
        <f t="array" ref="H58">SALESTABLE[[#This Row],[Quantity]]*_xlfn.XLOOKUP(SALESTABLE[[#This Row],[Product_ID]],ProductsTable[Product_ID],ProductsTable[Cost_Price],WAASIU,0,1)</f>
        <v>4436.12</v>
      </c>
      <c r="I58">
        <f>SALESTABLE[[#This Row],[Revenue]]-SALESTABLE[[#This Row],[COST]]</f>
        <v>3648.0000000000009</v>
      </c>
      <c r="J58">
        <f>SALESTABLE[[#This Row],[PROFIT]]/SALESTABLE[[#This Row],[Revenue]]*100</f>
        <v>45.125505311648027</v>
      </c>
    </row>
    <row r="59" spans="1:16" x14ac:dyDescent="0.35">
      <c r="A59" t="s">
        <v>135</v>
      </c>
      <c r="B59" s="4">
        <v>45094</v>
      </c>
      <c r="C59" t="s">
        <v>136</v>
      </c>
      <c r="D59" t="s">
        <v>137</v>
      </c>
      <c r="E59">
        <v>4</v>
      </c>
      <c r="F59">
        <v>10</v>
      </c>
      <c r="G59" cm="1">
        <f t="array" ref="G59">SALESTABLE[[#This Row],[Quantity]]*_xlfn.XLOOKUP(SALESTABLE[[#This Row],[Product_ID]],ProductsTable[Product_ID],ProductsTable[Unit_Price],WAASIU,0,1)</f>
        <v>1453.76</v>
      </c>
      <c r="H59" cm="1">
        <f t="array" ref="H59">SALESTABLE[[#This Row],[Quantity]]*_xlfn.XLOOKUP(SALESTABLE[[#This Row],[Product_ID]],ProductsTable[Product_ID],ProductsTable[Cost_Price],WAASIU,0,1)</f>
        <v>1000.2</v>
      </c>
      <c r="I59">
        <f>SALESTABLE[[#This Row],[Revenue]]-SALESTABLE[[#This Row],[COST]]</f>
        <v>453.55999999999995</v>
      </c>
      <c r="J59">
        <f>SALESTABLE[[#This Row],[PROFIT]]/SALESTABLE[[#This Row],[Revenue]]*100</f>
        <v>31.199097512656831</v>
      </c>
      <c r="P59" t="s">
        <v>1311</v>
      </c>
    </row>
    <row r="60" spans="1:16" x14ac:dyDescent="0.35">
      <c r="A60" t="s">
        <v>138</v>
      </c>
      <c r="B60" s="4">
        <v>45632</v>
      </c>
      <c r="C60" t="s">
        <v>129</v>
      </c>
      <c r="D60" t="s">
        <v>139</v>
      </c>
      <c r="E60">
        <v>20</v>
      </c>
      <c r="F60">
        <v>15</v>
      </c>
      <c r="G60" cm="1">
        <f t="array" ref="G60">SALESTABLE[[#This Row],[Quantity]]*_xlfn.XLOOKUP(SALESTABLE[[#This Row],[Product_ID]],ProductsTable[Product_ID],ProductsTable[Unit_Price],WAASIU,0,1)</f>
        <v>9142.2000000000007</v>
      </c>
      <c r="H60" cm="1">
        <f t="array" ref="H60">SALESTABLE[[#This Row],[Quantity]]*_xlfn.XLOOKUP(SALESTABLE[[#This Row],[Product_ID]],ProductsTable[Product_ID],ProductsTable[Cost_Price],WAASIU,0,1)</f>
        <v>6550.4</v>
      </c>
      <c r="I60">
        <f>SALESTABLE[[#This Row],[Revenue]]-SALESTABLE[[#This Row],[COST]]</f>
        <v>2591.8000000000011</v>
      </c>
      <c r="J60">
        <f>SALESTABLE[[#This Row],[PROFIT]]/SALESTABLE[[#This Row],[Revenue]]*100</f>
        <v>28.349850145479216</v>
      </c>
    </row>
    <row r="61" spans="1:16" x14ac:dyDescent="0.35">
      <c r="A61" t="s">
        <v>140</v>
      </c>
      <c r="B61" s="4">
        <v>45202</v>
      </c>
      <c r="C61" t="s">
        <v>90</v>
      </c>
      <c r="D61" t="s">
        <v>137</v>
      </c>
      <c r="E61">
        <v>18</v>
      </c>
      <c r="F61">
        <v>10</v>
      </c>
      <c r="G61" cm="1">
        <f t="array" ref="G61">SALESTABLE[[#This Row],[Quantity]]*_xlfn.XLOOKUP(SALESTABLE[[#This Row],[Product_ID]],ProductsTable[Product_ID],ProductsTable[Unit_Price],WAASIU,0,1)</f>
        <v>6541.92</v>
      </c>
      <c r="H61" cm="1">
        <f t="array" ref="H61">SALESTABLE[[#This Row],[Quantity]]*_xlfn.XLOOKUP(SALESTABLE[[#This Row],[Product_ID]],ProductsTable[Product_ID],ProductsTable[Cost_Price],WAASIU,0,1)</f>
        <v>4500.9000000000005</v>
      </c>
      <c r="I61">
        <f>SALESTABLE[[#This Row],[Revenue]]-SALESTABLE[[#This Row],[COST]]</f>
        <v>2041.0199999999995</v>
      </c>
      <c r="J61">
        <f>SALESTABLE[[#This Row],[PROFIT]]/SALESTABLE[[#This Row],[Revenue]]*100</f>
        <v>31.199097512656827</v>
      </c>
    </row>
    <row r="62" spans="1:16" x14ac:dyDescent="0.35">
      <c r="A62" t="s">
        <v>141</v>
      </c>
      <c r="B62" s="4">
        <v>45360</v>
      </c>
      <c r="C62" t="s">
        <v>142</v>
      </c>
      <c r="D62" t="s">
        <v>11</v>
      </c>
      <c r="E62">
        <v>3</v>
      </c>
      <c r="F62">
        <v>20</v>
      </c>
      <c r="G62" cm="1">
        <f t="array" ref="G62">SALESTABLE[[#This Row],[Quantity]]*_xlfn.XLOOKUP(SALESTABLE[[#This Row],[Product_ID]],ProductsTable[Product_ID],ProductsTable[Unit_Price],WAASIU,0,1)</f>
        <v>1431.81</v>
      </c>
      <c r="H62" cm="1">
        <f t="array" ref="H62">SALESTABLE[[#This Row],[Quantity]]*_xlfn.XLOOKUP(SALESTABLE[[#This Row],[Product_ID]],ProductsTable[Product_ID],ProductsTable[Cost_Price],WAASIU,0,1)</f>
        <v>896.52</v>
      </c>
      <c r="I62">
        <f>SALESTABLE[[#This Row],[Revenue]]-SALESTABLE[[#This Row],[COST]]</f>
        <v>535.29</v>
      </c>
      <c r="J62">
        <f>SALESTABLE[[#This Row],[PROFIT]]/SALESTABLE[[#This Row],[Revenue]]*100</f>
        <v>37.385546965030272</v>
      </c>
    </row>
    <row r="63" spans="1:16" x14ac:dyDescent="0.35">
      <c r="A63" t="s">
        <v>143</v>
      </c>
      <c r="B63" s="4">
        <v>45419</v>
      </c>
      <c r="C63" t="s">
        <v>144</v>
      </c>
      <c r="D63" t="s">
        <v>139</v>
      </c>
      <c r="E63">
        <v>8</v>
      </c>
      <c r="F63">
        <v>15</v>
      </c>
      <c r="G63" cm="1">
        <f t="array" ref="G63">SALESTABLE[[#This Row],[Quantity]]*_xlfn.XLOOKUP(SALESTABLE[[#This Row],[Product_ID]],ProductsTable[Product_ID],ProductsTable[Unit_Price],WAASIU,0,1)</f>
        <v>3656.88</v>
      </c>
      <c r="H63" cm="1">
        <f t="array" ref="H63">SALESTABLE[[#This Row],[Quantity]]*_xlfn.XLOOKUP(SALESTABLE[[#This Row],[Product_ID]],ProductsTable[Product_ID],ProductsTable[Cost_Price],WAASIU,0,1)</f>
        <v>2620.16</v>
      </c>
      <c r="I63">
        <f>SALESTABLE[[#This Row],[Revenue]]-SALESTABLE[[#This Row],[COST]]</f>
        <v>1036.7200000000003</v>
      </c>
      <c r="J63">
        <f>SALESTABLE[[#This Row],[PROFIT]]/SALESTABLE[[#This Row],[Revenue]]*100</f>
        <v>28.349850145479209</v>
      </c>
    </row>
    <row r="64" spans="1:16" x14ac:dyDescent="0.35">
      <c r="A64" t="s">
        <v>145</v>
      </c>
      <c r="B64" s="4">
        <v>44945</v>
      </c>
      <c r="C64" t="s">
        <v>146</v>
      </c>
      <c r="D64" t="s">
        <v>74</v>
      </c>
      <c r="E64">
        <v>6</v>
      </c>
      <c r="F64">
        <v>20</v>
      </c>
      <c r="G64" cm="1">
        <f t="array" ref="G64">SALESTABLE[[#This Row],[Quantity]]*_xlfn.XLOOKUP(SALESTABLE[[#This Row],[Product_ID]],ProductsTable[Product_ID],ProductsTable[Unit_Price],WAASIU,0,1)</f>
        <v>258</v>
      </c>
      <c r="H64" cm="1">
        <f t="array" ref="H64">SALESTABLE[[#This Row],[Quantity]]*_xlfn.XLOOKUP(SALESTABLE[[#This Row],[Product_ID]],ProductsTable[Product_ID],ProductsTable[Cost_Price],WAASIU,0,1)</f>
        <v>180.3</v>
      </c>
      <c r="I64">
        <f>SALESTABLE[[#This Row],[Revenue]]-SALESTABLE[[#This Row],[COST]]</f>
        <v>77.699999999999989</v>
      </c>
      <c r="J64">
        <f>SALESTABLE[[#This Row],[PROFIT]]/SALESTABLE[[#This Row],[Revenue]]*100</f>
        <v>30.116279069767437</v>
      </c>
    </row>
    <row r="65" spans="1:10" x14ac:dyDescent="0.35">
      <c r="A65" t="s">
        <v>147</v>
      </c>
      <c r="B65" s="4">
        <v>44974</v>
      </c>
      <c r="C65" t="s">
        <v>136</v>
      </c>
      <c r="D65" t="s">
        <v>25</v>
      </c>
      <c r="E65">
        <v>7</v>
      </c>
      <c r="F65">
        <v>15</v>
      </c>
      <c r="G65" cm="1">
        <f t="array" ref="G65">SALESTABLE[[#This Row],[Quantity]]*_xlfn.XLOOKUP(SALESTABLE[[#This Row],[Product_ID]],ProductsTable[Product_ID],ProductsTable[Unit_Price],WAASIU,0,1)</f>
        <v>1244.32</v>
      </c>
      <c r="H65" cm="1">
        <f t="array" ref="H65">SALESTABLE[[#This Row],[Quantity]]*_xlfn.XLOOKUP(SALESTABLE[[#This Row],[Product_ID]],ProductsTable[Product_ID],ProductsTable[Cost_Price],WAASIU,0,1)</f>
        <v>643.16</v>
      </c>
      <c r="I65">
        <f>SALESTABLE[[#This Row],[Revenue]]-SALESTABLE[[#This Row],[COST]]</f>
        <v>601.16</v>
      </c>
      <c r="J65">
        <f>SALESTABLE[[#This Row],[PROFIT]]/SALESTABLE[[#This Row],[Revenue]]*100</f>
        <v>48.312331233123309</v>
      </c>
    </row>
    <row r="66" spans="1:10" x14ac:dyDescent="0.35">
      <c r="A66" t="s">
        <v>148</v>
      </c>
      <c r="B66" s="4">
        <v>45456</v>
      </c>
      <c r="C66" t="s">
        <v>149</v>
      </c>
      <c r="D66" t="s">
        <v>137</v>
      </c>
      <c r="E66">
        <v>12</v>
      </c>
      <c r="F66">
        <v>0</v>
      </c>
      <c r="G66" cm="1">
        <f t="array" ref="G66">SALESTABLE[[#This Row],[Quantity]]*_xlfn.XLOOKUP(SALESTABLE[[#This Row],[Product_ID]],ProductsTable[Product_ID],ProductsTable[Unit_Price],WAASIU,0,1)</f>
        <v>4361.28</v>
      </c>
      <c r="H66" cm="1">
        <f t="array" ref="H66">SALESTABLE[[#This Row],[Quantity]]*_xlfn.XLOOKUP(SALESTABLE[[#This Row],[Product_ID]],ProductsTable[Product_ID],ProductsTable[Cost_Price],WAASIU,0,1)</f>
        <v>3000.6000000000004</v>
      </c>
      <c r="I66">
        <f>SALESTABLE[[#This Row],[Revenue]]-SALESTABLE[[#This Row],[COST]]</f>
        <v>1360.6799999999994</v>
      </c>
      <c r="J66">
        <f>SALESTABLE[[#This Row],[PROFIT]]/SALESTABLE[[#This Row],[Revenue]]*100</f>
        <v>31.19909751265682</v>
      </c>
    </row>
    <row r="67" spans="1:10" x14ac:dyDescent="0.35">
      <c r="A67" t="s">
        <v>150</v>
      </c>
      <c r="B67" s="4">
        <v>45486</v>
      </c>
      <c r="C67" t="s">
        <v>122</v>
      </c>
      <c r="D67" t="s">
        <v>97</v>
      </c>
      <c r="E67">
        <v>3</v>
      </c>
      <c r="F67">
        <v>20</v>
      </c>
      <c r="G67" cm="1">
        <f t="array" ref="G67">SALESTABLE[[#This Row],[Quantity]]*_xlfn.XLOOKUP(SALESTABLE[[#This Row],[Product_ID]],ProductsTable[Product_ID],ProductsTable[Unit_Price],WAASIU,0,1)</f>
        <v>930.62999999999988</v>
      </c>
      <c r="H67" cm="1">
        <f t="array" ref="H67">SALESTABLE[[#This Row],[Quantity]]*_xlfn.XLOOKUP(SALESTABLE[[#This Row],[Product_ID]],ProductsTable[Product_ID],ProductsTable[Cost_Price],WAASIU,0,1)</f>
        <v>675.87</v>
      </c>
      <c r="I67">
        <f>SALESTABLE[[#This Row],[Revenue]]-SALESTABLE[[#This Row],[COST]]</f>
        <v>254.75999999999988</v>
      </c>
      <c r="J67">
        <f>SALESTABLE[[#This Row],[PROFIT]]/SALESTABLE[[#This Row],[Revenue]]*100</f>
        <v>27.375004029528377</v>
      </c>
    </row>
    <row r="68" spans="1:10" x14ac:dyDescent="0.35">
      <c r="A68" t="s">
        <v>151</v>
      </c>
      <c r="B68" s="4">
        <v>45577</v>
      </c>
      <c r="C68" t="s">
        <v>30</v>
      </c>
      <c r="D68" t="s">
        <v>11</v>
      </c>
      <c r="E68">
        <v>10</v>
      </c>
      <c r="F68">
        <v>10</v>
      </c>
      <c r="G68" cm="1">
        <f t="array" ref="G68">SALESTABLE[[#This Row],[Quantity]]*_xlfn.XLOOKUP(SALESTABLE[[#This Row],[Product_ID]],ProductsTable[Product_ID],ProductsTable[Unit_Price],WAASIU,0,1)</f>
        <v>4772.7</v>
      </c>
      <c r="H68" cm="1">
        <f t="array" ref="H68">SALESTABLE[[#This Row],[Quantity]]*_xlfn.XLOOKUP(SALESTABLE[[#This Row],[Product_ID]],ProductsTable[Product_ID],ProductsTable[Cost_Price],WAASIU,0,1)</f>
        <v>2988.3999999999996</v>
      </c>
      <c r="I68">
        <f>SALESTABLE[[#This Row],[Revenue]]-SALESTABLE[[#This Row],[COST]]</f>
        <v>1784.3000000000002</v>
      </c>
      <c r="J68">
        <f>SALESTABLE[[#This Row],[PROFIT]]/SALESTABLE[[#This Row],[Revenue]]*100</f>
        <v>37.385546965030279</v>
      </c>
    </row>
    <row r="69" spans="1:10" x14ac:dyDescent="0.35">
      <c r="A69" t="s">
        <v>152</v>
      </c>
      <c r="B69" s="4">
        <v>45065</v>
      </c>
      <c r="C69" t="s">
        <v>51</v>
      </c>
      <c r="D69" t="s">
        <v>110</v>
      </c>
      <c r="E69">
        <v>14</v>
      </c>
      <c r="F69">
        <v>5</v>
      </c>
      <c r="G69" cm="1">
        <f t="array" ref="G69">SALESTABLE[[#This Row],[Quantity]]*_xlfn.XLOOKUP(SALESTABLE[[#This Row],[Product_ID]],ProductsTable[Product_ID],ProductsTable[Unit_Price],WAASIU,0,1)</f>
        <v>6878.48</v>
      </c>
      <c r="H69" cm="1">
        <f t="array" ref="H69">SALESTABLE[[#This Row],[Quantity]]*_xlfn.XLOOKUP(SALESTABLE[[#This Row],[Product_ID]],ProductsTable[Product_ID],ProductsTable[Cost_Price],WAASIU,0,1)</f>
        <v>3753.54</v>
      </c>
      <c r="I69">
        <f>SALESTABLE[[#This Row],[Revenue]]-SALESTABLE[[#This Row],[COST]]</f>
        <v>3124.9399999999996</v>
      </c>
      <c r="J69">
        <f>SALESTABLE[[#This Row],[PROFIT]]/SALESTABLE[[#This Row],[Revenue]]*100</f>
        <v>45.430676544818041</v>
      </c>
    </row>
    <row r="70" spans="1:10" x14ac:dyDescent="0.35">
      <c r="A70" t="s">
        <v>153</v>
      </c>
      <c r="B70" s="4">
        <v>44983</v>
      </c>
      <c r="C70" t="s">
        <v>154</v>
      </c>
      <c r="D70" t="s">
        <v>127</v>
      </c>
      <c r="E70">
        <v>5</v>
      </c>
      <c r="F70">
        <v>20</v>
      </c>
      <c r="G70" cm="1">
        <f t="array" ref="G70">SALESTABLE[[#This Row],[Quantity]]*_xlfn.XLOOKUP(SALESTABLE[[#This Row],[Product_ID]],ProductsTable[Product_ID],ProductsTable[Unit_Price],WAASIU,0,1)</f>
        <v>460.34999999999997</v>
      </c>
      <c r="H70" cm="1">
        <f t="array" ref="H70">SALESTABLE[[#This Row],[Quantity]]*_xlfn.XLOOKUP(SALESTABLE[[#This Row],[Product_ID]],ProductsTable[Product_ID],ProductsTable[Cost_Price],WAASIU,0,1)</f>
        <v>281.8</v>
      </c>
      <c r="I70">
        <f>SALESTABLE[[#This Row],[Revenue]]-SALESTABLE[[#This Row],[COST]]</f>
        <v>178.54999999999995</v>
      </c>
      <c r="J70">
        <f>SALESTABLE[[#This Row],[PROFIT]]/SALESTABLE[[#This Row],[Revenue]]*100</f>
        <v>38.785706527642006</v>
      </c>
    </row>
    <row r="71" spans="1:10" x14ac:dyDescent="0.35">
      <c r="A71" t="s">
        <v>155</v>
      </c>
      <c r="B71" s="4">
        <v>45436</v>
      </c>
      <c r="C71" t="s">
        <v>156</v>
      </c>
      <c r="D71" t="s">
        <v>52</v>
      </c>
      <c r="E71">
        <v>5</v>
      </c>
      <c r="F71">
        <v>10</v>
      </c>
      <c r="G71" cm="1">
        <f t="array" ref="G71">SALESTABLE[[#This Row],[Quantity]]*_xlfn.XLOOKUP(SALESTABLE[[#This Row],[Product_ID]],ProductsTable[Product_ID],ProductsTable[Unit_Price],WAASIU,0,1)</f>
        <v>918.9</v>
      </c>
      <c r="H71" cm="1">
        <f t="array" ref="H71">SALESTABLE[[#This Row],[Quantity]]*_xlfn.XLOOKUP(SALESTABLE[[#This Row],[Product_ID]],ProductsTable[Product_ID],ProductsTable[Cost_Price],WAASIU,0,1)</f>
        <v>578.15</v>
      </c>
      <c r="I71">
        <f>SALESTABLE[[#This Row],[Revenue]]-SALESTABLE[[#This Row],[COST]]</f>
        <v>340.75</v>
      </c>
      <c r="J71">
        <f>SALESTABLE[[#This Row],[PROFIT]]/SALESTABLE[[#This Row],[Revenue]]*100</f>
        <v>37.082381107846338</v>
      </c>
    </row>
    <row r="72" spans="1:10" x14ac:dyDescent="0.35">
      <c r="A72" t="s">
        <v>157</v>
      </c>
      <c r="B72" s="4">
        <v>45550</v>
      </c>
      <c r="C72" t="s">
        <v>149</v>
      </c>
      <c r="D72" t="s">
        <v>25</v>
      </c>
      <c r="E72">
        <v>16</v>
      </c>
      <c r="F72">
        <v>10</v>
      </c>
      <c r="G72" cm="1">
        <f t="array" ref="G72">SALESTABLE[[#This Row],[Quantity]]*_xlfn.XLOOKUP(SALESTABLE[[#This Row],[Product_ID]],ProductsTable[Product_ID],ProductsTable[Unit_Price],WAASIU,0,1)</f>
        <v>2844.16</v>
      </c>
      <c r="H72" cm="1">
        <f t="array" ref="H72">SALESTABLE[[#This Row],[Quantity]]*_xlfn.XLOOKUP(SALESTABLE[[#This Row],[Product_ID]],ProductsTable[Product_ID],ProductsTable[Cost_Price],WAASIU,0,1)</f>
        <v>1470.08</v>
      </c>
      <c r="I72">
        <f>SALESTABLE[[#This Row],[Revenue]]-SALESTABLE[[#This Row],[COST]]</f>
        <v>1374.08</v>
      </c>
      <c r="J72">
        <f>SALESTABLE[[#This Row],[PROFIT]]/SALESTABLE[[#This Row],[Revenue]]*100</f>
        <v>48.312331233123309</v>
      </c>
    </row>
    <row r="73" spans="1:10" x14ac:dyDescent="0.35">
      <c r="A73" t="s">
        <v>158</v>
      </c>
      <c r="B73" s="4">
        <v>45250</v>
      </c>
      <c r="C73" t="s">
        <v>159</v>
      </c>
      <c r="D73" t="s">
        <v>133</v>
      </c>
      <c r="E73">
        <v>10</v>
      </c>
      <c r="F73">
        <v>15</v>
      </c>
      <c r="G73" cm="1">
        <f t="array" ref="G73">SALESTABLE[[#This Row],[Quantity]]*_xlfn.XLOOKUP(SALESTABLE[[#This Row],[Product_ID]],ProductsTable[Product_ID],ProductsTable[Unit_Price],WAASIU,0,1)</f>
        <v>3510</v>
      </c>
      <c r="H73" cm="1">
        <f t="array" ref="H73">SALESTABLE[[#This Row],[Quantity]]*_xlfn.XLOOKUP(SALESTABLE[[#This Row],[Product_ID]],ProductsTable[Product_ID],ProductsTable[Cost_Price],WAASIU,0,1)</f>
        <v>2336.3000000000002</v>
      </c>
      <c r="I73">
        <f>SALESTABLE[[#This Row],[Revenue]]-SALESTABLE[[#This Row],[COST]]</f>
        <v>1173.6999999999998</v>
      </c>
      <c r="J73">
        <f>SALESTABLE[[#This Row],[PROFIT]]/SALESTABLE[[#This Row],[Revenue]]*100</f>
        <v>33.438746438746435</v>
      </c>
    </row>
    <row r="74" spans="1:10" x14ac:dyDescent="0.35">
      <c r="A74" t="s">
        <v>160</v>
      </c>
      <c r="B74" s="4">
        <v>45575</v>
      </c>
      <c r="C74" t="s">
        <v>161</v>
      </c>
      <c r="D74" t="s">
        <v>139</v>
      </c>
      <c r="E74">
        <v>6</v>
      </c>
      <c r="F74">
        <v>20</v>
      </c>
      <c r="G74" cm="1">
        <f t="array" ref="G74">SALESTABLE[[#This Row],[Quantity]]*_xlfn.XLOOKUP(SALESTABLE[[#This Row],[Product_ID]],ProductsTable[Product_ID],ProductsTable[Unit_Price],WAASIU,0,1)</f>
        <v>2742.66</v>
      </c>
      <c r="H74" cm="1">
        <f t="array" ref="H74">SALESTABLE[[#This Row],[Quantity]]*_xlfn.XLOOKUP(SALESTABLE[[#This Row],[Product_ID]],ProductsTable[Product_ID],ProductsTable[Cost_Price],WAASIU,0,1)</f>
        <v>1965.12</v>
      </c>
      <c r="I74">
        <f>SALESTABLE[[#This Row],[Revenue]]-SALESTABLE[[#This Row],[COST]]</f>
        <v>777.54</v>
      </c>
      <c r="J74">
        <f>SALESTABLE[[#This Row],[PROFIT]]/SALESTABLE[[#This Row],[Revenue]]*100</f>
        <v>28.349850145479206</v>
      </c>
    </row>
    <row r="75" spans="1:10" x14ac:dyDescent="0.35">
      <c r="A75" t="s">
        <v>162</v>
      </c>
      <c r="B75" s="4">
        <v>45076</v>
      </c>
      <c r="C75" t="s">
        <v>154</v>
      </c>
      <c r="D75" t="s">
        <v>16</v>
      </c>
      <c r="E75">
        <v>1</v>
      </c>
      <c r="F75">
        <v>5</v>
      </c>
      <c r="G75" cm="1">
        <f t="array" ref="G75">SALESTABLE[[#This Row],[Quantity]]*_xlfn.XLOOKUP(SALESTABLE[[#This Row],[Product_ID]],ProductsTable[Product_ID],ProductsTable[Unit_Price],WAASIU,0,1)</f>
        <v>362.17</v>
      </c>
      <c r="H75" cm="1">
        <f t="array" ref="H75">SALESTABLE[[#This Row],[Quantity]]*_xlfn.XLOOKUP(SALESTABLE[[#This Row],[Product_ID]],ProductsTable[Product_ID],ProductsTable[Cost_Price],WAASIU,0,1)</f>
        <v>233.38</v>
      </c>
      <c r="I75">
        <f>SALESTABLE[[#This Row],[Revenue]]-SALESTABLE[[#This Row],[COST]]</f>
        <v>128.79000000000002</v>
      </c>
      <c r="J75">
        <f>SALESTABLE[[#This Row],[PROFIT]]/SALESTABLE[[#This Row],[Revenue]]*100</f>
        <v>35.56064831432753</v>
      </c>
    </row>
    <row r="76" spans="1:10" x14ac:dyDescent="0.35">
      <c r="A76" t="s">
        <v>163</v>
      </c>
      <c r="B76" s="4">
        <v>45071</v>
      </c>
      <c r="C76" t="s">
        <v>131</v>
      </c>
      <c r="D76" t="s">
        <v>113</v>
      </c>
      <c r="E76">
        <v>6</v>
      </c>
      <c r="F76">
        <v>15</v>
      </c>
      <c r="G76" cm="1">
        <f t="array" ref="G76">SALESTABLE[[#This Row],[Quantity]]*_xlfn.XLOOKUP(SALESTABLE[[#This Row],[Product_ID]],ProductsTable[Product_ID],ProductsTable[Unit_Price],WAASIU,0,1)</f>
        <v>2022.54</v>
      </c>
      <c r="H76" cm="1">
        <f t="array" ref="H76">SALESTABLE[[#This Row],[Quantity]]*_xlfn.XLOOKUP(SALESTABLE[[#This Row],[Product_ID]],ProductsTable[Product_ID],ProductsTable[Cost_Price],WAASIU,0,1)</f>
        <v>1118.46</v>
      </c>
      <c r="I76">
        <f>SALESTABLE[[#This Row],[Revenue]]-SALESTABLE[[#This Row],[COST]]</f>
        <v>904.07999999999993</v>
      </c>
      <c r="J76">
        <f>SALESTABLE[[#This Row],[PROFIT]]/SALESTABLE[[#This Row],[Revenue]]*100</f>
        <v>44.700228425643004</v>
      </c>
    </row>
    <row r="77" spans="1:10" x14ac:dyDescent="0.35">
      <c r="A77" t="s">
        <v>164</v>
      </c>
      <c r="B77" s="4">
        <v>45632</v>
      </c>
      <c r="C77" t="s">
        <v>165</v>
      </c>
      <c r="D77" t="s">
        <v>97</v>
      </c>
      <c r="E77">
        <v>4</v>
      </c>
      <c r="F77">
        <v>20</v>
      </c>
      <c r="G77" cm="1">
        <f t="array" ref="G77">SALESTABLE[[#This Row],[Quantity]]*_xlfn.XLOOKUP(SALESTABLE[[#This Row],[Product_ID]],ProductsTable[Product_ID],ProductsTable[Unit_Price],WAASIU,0,1)</f>
        <v>1240.8399999999999</v>
      </c>
      <c r="H77" cm="1">
        <f t="array" ref="H77">SALESTABLE[[#This Row],[Quantity]]*_xlfn.XLOOKUP(SALESTABLE[[#This Row],[Product_ID]],ProductsTable[Product_ID],ProductsTable[Cost_Price],WAASIU,0,1)</f>
        <v>901.16</v>
      </c>
      <c r="I77">
        <f>SALESTABLE[[#This Row],[Revenue]]-SALESTABLE[[#This Row],[COST]]</f>
        <v>339.67999999999995</v>
      </c>
      <c r="J77">
        <f>SALESTABLE[[#This Row],[PROFIT]]/SALESTABLE[[#This Row],[Revenue]]*100</f>
        <v>27.375004029528384</v>
      </c>
    </row>
    <row r="78" spans="1:10" x14ac:dyDescent="0.35">
      <c r="A78" t="s">
        <v>166</v>
      </c>
      <c r="B78" s="4">
        <v>45265</v>
      </c>
      <c r="C78" t="s">
        <v>167</v>
      </c>
      <c r="D78" t="s">
        <v>34</v>
      </c>
      <c r="E78">
        <v>19</v>
      </c>
      <c r="F78">
        <v>5</v>
      </c>
      <c r="G78" cm="1">
        <f t="array" ref="G78">SALESTABLE[[#This Row],[Quantity]]*_xlfn.XLOOKUP(SALESTABLE[[#This Row],[Product_ID]],ProductsTable[Product_ID],ProductsTable[Unit_Price],WAASIU,0,1)</f>
        <v>6246.25</v>
      </c>
      <c r="H78" cm="1">
        <f t="array" ref="H78">SALESTABLE[[#This Row],[Quantity]]*_xlfn.XLOOKUP(SALESTABLE[[#This Row],[Product_ID]],ProductsTable[Product_ID],ProductsTable[Cost_Price],WAASIU,0,1)</f>
        <v>4430.42</v>
      </c>
      <c r="I78">
        <f>SALESTABLE[[#This Row],[Revenue]]-SALESTABLE[[#This Row],[COST]]</f>
        <v>1815.83</v>
      </c>
      <c r="J78">
        <f>SALESTABLE[[#This Row],[PROFIT]]/SALESTABLE[[#This Row],[Revenue]]*100</f>
        <v>29.070722433460073</v>
      </c>
    </row>
    <row r="79" spans="1:10" x14ac:dyDescent="0.35">
      <c r="A79" t="s">
        <v>168</v>
      </c>
      <c r="B79" s="4">
        <v>45466</v>
      </c>
      <c r="C79" t="s">
        <v>169</v>
      </c>
      <c r="D79" t="s">
        <v>44</v>
      </c>
      <c r="E79">
        <v>5</v>
      </c>
      <c r="F79">
        <v>20</v>
      </c>
      <c r="G79" cm="1">
        <f t="array" ref="G79">SALESTABLE[[#This Row],[Quantity]]*_xlfn.XLOOKUP(SALESTABLE[[#This Row],[Product_ID]],ProductsTable[Product_ID],ProductsTable[Unit_Price],WAASIU,0,1)</f>
        <v>670.95</v>
      </c>
      <c r="H79" cm="1">
        <f t="array" ref="H79">SALESTABLE[[#This Row],[Quantity]]*_xlfn.XLOOKUP(SALESTABLE[[#This Row],[Product_ID]],ProductsTable[Product_ID],ProductsTable[Cost_Price],WAASIU,0,1)</f>
        <v>416.59999999999997</v>
      </c>
      <c r="I79">
        <f>SALESTABLE[[#This Row],[Revenue]]-SALESTABLE[[#This Row],[COST]]</f>
        <v>254.35000000000008</v>
      </c>
      <c r="J79">
        <f>SALESTABLE[[#This Row],[PROFIT]]/SALESTABLE[[#This Row],[Revenue]]*100</f>
        <v>37.908935092033694</v>
      </c>
    </row>
    <row r="80" spans="1:10" x14ac:dyDescent="0.35">
      <c r="A80" t="s">
        <v>170</v>
      </c>
      <c r="B80" s="4">
        <v>45022</v>
      </c>
      <c r="C80" t="s">
        <v>171</v>
      </c>
      <c r="D80" t="s">
        <v>107</v>
      </c>
      <c r="E80">
        <v>8</v>
      </c>
      <c r="F80">
        <v>0</v>
      </c>
      <c r="G80" cm="1">
        <f t="array" ref="G80">SALESTABLE[[#This Row],[Quantity]]*_xlfn.XLOOKUP(SALESTABLE[[#This Row],[Product_ID]],ProductsTable[Product_ID],ProductsTable[Unit_Price],WAASIU,0,1)</f>
        <v>520.08000000000004</v>
      </c>
      <c r="H80" cm="1">
        <f t="array" ref="H80">SALESTABLE[[#This Row],[Quantity]]*_xlfn.XLOOKUP(SALESTABLE[[#This Row],[Product_ID]],ProductsTable[Product_ID],ProductsTable[Cost_Price],WAASIU,0,1)</f>
        <v>294.64</v>
      </c>
      <c r="I80">
        <f>SALESTABLE[[#This Row],[Revenue]]-SALESTABLE[[#This Row],[COST]]</f>
        <v>225.44000000000005</v>
      </c>
      <c r="J80">
        <f>SALESTABLE[[#This Row],[PROFIT]]/SALESTABLE[[#This Row],[Revenue]]*100</f>
        <v>43.347177357329649</v>
      </c>
    </row>
    <row r="81" spans="1:10" x14ac:dyDescent="0.35">
      <c r="A81" t="s">
        <v>172</v>
      </c>
      <c r="B81" s="4">
        <v>45248</v>
      </c>
      <c r="C81" t="s">
        <v>10</v>
      </c>
      <c r="D81" t="s">
        <v>44</v>
      </c>
      <c r="E81">
        <v>2</v>
      </c>
      <c r="F81">
        <v>10</v>
      </c>
      <c r="G81" cm="1">
        <f t="array" ref="G81">SALESTABLE[[#This Row],[Quantity]]*_xlfn.XLOOKUP(SALESTABLE[[#This Row],[Product_ID]],ProductsTable[Product_ID],ProductsTable[Unit_Price],WAASIU,0,1)</f>
        <v>268.38</v>
      </c>
      <c r="H81" cm="1">
        <f t="array" ref="H81">SALESTABLE[[#This Row],[Quantity]]*_xlfn.XLOOKUP(SALESTABLE[[#This Row],[Product_ID]],ProductsTable[Product_ID],ProductsTable[Cost_Price],WAASIU,0,1)</f>
        <v>166.64</v>
      </c>
      <c r="I81">
        <f>SALESTABLE[[#This Row],[Revenue]]-SALESTABLE[[#This Row],[COST]]</f>
        <v>101.74000000000001</v>
      </c>
      <c r="J81">
        <f>SALESTABLE[[#This Row],[PROFIT]]/SALESTABLE[[#This Row],[Revenue]]*100</f>
        <v>37.908935092033687</v>
      </c>
    </row>
    <row r="82" spans="1:10" x14ac:dyDescent="0.35">
      <c r="A82" t="s">
        <v>173</v>
      </c>
      <c r="B82" s="4">
        <v>45046</v>
      </c>
      <c r="C82" t="s">
        <v>174</v>
      </c>
      <c r="D82" t="s">
        <v>139</v>
      </c>
      <c r="E82">
        <v>2</v>
      </c>
      <c r="F82">
        <v>5</v>
      </c>
      <c r="G82" cm="1">
        <f t="array" ref="G82">SALESTABLE[[#This Row],[Quantity]]*_xlfn.XLOOKUP(SALESTABLE[[#This Row],[Product_ID]],ProductsTable[Product_ID],ProductsTable[Unit_Price],WAASIU,0,1)</f>
        <v>914.22</v>
      </c>
      <c r="H82" cm="1">
        <f t="array" ref="H82">SALESTABLE[[#This Row],[Quantity]]*_xlfn.XLOOKUP(SALESTABLE[[#This Row],[Product_ID]],ProductsTable[Product_ID],ProductsTable[Cost_Price],WAASIU,0,1)</f>
        <v>655.04</v>
      </c>
      <c r="I82">
        <f>SALESTABLE[[#This Row],[Revenue]]-SALESTABLE[[#This Row],[COST]]</f>
        <v>259.18000000000006</v>
      </c>
      <c r="J82">
        <f>SALESTABLE[[#This Row],[PROFIT]]/SALESTABLE[[#This Row],[Revenue]]*100</f>
        <v>28.349850145479209</v>
      </c>
    </row>
    <row r="83" spans="1:10" x14ac:dyDescent="0.35">
      <c r="A83" t="s">
        <v>175</v>
      </c>
      <c r="B83" s="4">
        <v>45127</v>
      </c>
      <c r="C83" t="s">
        <v>116</v>
      </c>
      <c r="D83" t="s">
        <v>57</v>
      </c>
      <c r="E83">
        <v>15</v>
      </c>
      <c r="F83">
        <v>10</v>
      </c>
      <c r="G83" cm="1">
        <f t="array" ref="G83">SALESTABLE[[#This Row],[Quantity]]*_xlfn.XLOOKUP(SALESTABLE[[#This Row],[Product_ID]],ProductsTable[Product_ID],ProductsTable[Unit_Price],WAASIU,0,1)</f>
        <v>2382.4500000000003</v>
      </c>
      <c r="H83" cm="1">
        <f t="array" ref="H83">SALESTABLE[[#This Row],[Quantity]]*_xlfn.XLOOKUP(SALESTABLE[[#This Row],[Product_ID]],ProductsTable[Product_ID],ProductsTable[Cost_Price],WAASIU,0,1)</f>
        <v>1904.1</v>
      </c>
      <c r="I83">
        <f>SALESTABLE[[#This Row],[Revenue]]-SALESTABLE[[#This Row],[COST]]</f>
        <v>478.35000000000036</v>
      </c>
      <c r="J83">
        <f>SALESTABLE[[#This Row],[PROFIT]]/SALESTABLE[[#This Row],[Revenue]]*100</f>
        <v>20.078070893408061</v>
      </c>
    </row>
    <row r="84" spans="1:10" x14ac:dyDescent="0.35">
      <c r="A84" t="s">
        <v>176</v>
      </c>
      <c r="B84" s="4">
        <v>45435</v>
      </c>
      <c r="C84" t="s">
        <v>177</v>
      </c>
      <c r="D84" t="s">
        <v>52</v>
      </c>
      <c r="E84">
        <v>14</v>
      </c>
      <c r="F84">
        <v>0</v>
      </c>
      <c r="G84" cm="1">
        <f t="array" ref="G84">SALESTABLE[[#This Row],[Quantity]]*_xlfn.XLOOKUP(SALESTABLE[[#This Row],[Product_ID]],ProductsTable[Product_ID],ProductsTable[Unit_Price],WAASIU,0,1)</f>
        <v>2572.92</v>
      </c>
      <c r="H84" cm="1">
        <f t="array" ref="H84">SALESTABLE[[#This Row],[Quantity]]*_xlfn.XLOOKUP(SALESTABLE[[#This Row],[Product_ID]],ProductsTable[Product_ID],ProductsTable[Cost_Price],WAASIU,0,1)</f>
        <v>1618.82</v>
      </c>
      <c r="I84">
        <f>SALESTABLE[[#This Row],[Revenue]]-SALESTABLE[[#This Row],[COST]]</f>
        <v>954.10000000000014</v>
      </c>
      <c r="J84">
        <f>SALESTABLE[[#This Row],[PROFIT]]/SALESTABLE[[#This Row],[Revenue]]*100</f>
        <v>37.082381107846338</v>
      </c>
    </row>
    <row r="85" spans="1:10" x14ac:dyDescent="0.35">
      <c r="A85" t="s">
        <v>178</v>
      </c>
      <c r="B85" s="4">
        <v>45138</v>
      </c>
      <c r="C85" t="s">
        <v>179</v>
      </c>
      <c r="D85" t="s">
        <v>41</v>
      </c>
      <c r="E85">
        <v>10</v>
      </c>
      <c r="F85">
        <v>20</v>
      </c>
      <c r="G85" cm="1">
        <f t="array" ref="G85">SALESTABLE[[#This Row],[Quantity]]*_xlfn.XLOOKUP(SALESTABLE[[#This Row],[Product_ID]],ProductsTable[Product_ID],ProductsTable[Unit_Price],WAASIU,0,1)</f>
        <v>4257.5</v>
      </c>
      <c r="H85" cm="1">
        <f t="array" ref="H85">SALESTABLE[[#This Row],[Quantity]]*_xlfn.XLOOKUP(SALESTABLE[[#This Row],[Product_ID]],ProductsTable[Product_ID],ProductsTable[Cost_Price],WAASIU,0,1)</f>
        <v>2431.3000000000002</v>
      </c>
      <c r="I85">
        <f>SALESTABLE[[#This Row],[Revenue]]-SALESTABLE[[#This Row],[COST]]</f>
        <v>1826.1999999999998</v>
      </c>
      <c r="J85">
        <f>SALESTABLE[[#This Row],[PROFIT]]/SALESTABLE[[#This Row],[Revenue]]*100</f>
        <v>42.893716970052843</v>
      </c>
    </row>
    <row r="86" spans="1:10" x14ac:dyDescent="0.35">
      <c r="A86" t="s">
        <v>180</v>
      </c>
      <c r="B86" s="4">
        <v>44941</v>
      </c>
      <c r="C86" t="s">
        <v>181</v>
      </c>
      <c r="D86" t="s">
        <v>22</v>
      </c>
      <c r="E86">
        <v>18</v>
      </c>
      <c r="F86">
        <v>0</v>
      </c>
      <c r="G86" cm="1">
        <f t="array" ref="G86">SALESTABLE[[#This Row],[Quantity]]*_xlfn.XLOOKUP(SALESTABLE[[#This Row],[Product_ID]],ProductsTable[Product_ID],ProductsTable[Unit_Price],WAASIU,0,1)</f>
        <v>7554.06</v>
      </c>
      <c r="H86" cm="1">
        <f t="array" ref="H86">SALESTABLE[[#This Row],[Quantity]]*_xlfn.XLOOKUP(SALESTABLE[[#This Row],[Product_ID]],ProductsTable[Product_ID],ProductsTable[Cost_Price],WAASIU,0,1)</f>
        <v>3841.56</v>
      </c>
      <c r="I86">
        <f>SALESTABLE[[#This Row],[Revenue]]-SALESTABLE[[#This Row],[COST]]</f>
        <v>3712.5000000000005</v>
      </c>
      <c r="J86">
        <f>SALESTABLE[[#This Row],[PROFIT]]/SALESTABLE[[#This Row],[Revenue]]*100</f>
        <v>49.145757380799203</v>
      </c>
    </row>
    <row r="87" spans="1:10" x14ac:dyDescent="0.35">
      <c r="A87" t="s">
        <v>182</v>
      </c>
      <c r="B87" s="4">
        <v>45484</v>
      </c>
      <c r="C87" t="s">
        <v>112</v>
      </c>
      <c r="D87" t="s">
        <v>84</v>
      </c>
      <c r="E87">
        <v>13</v>
      </c>
      <c r="F87">
        <v>5</v>
      </c>
      <c r="G87" cm="1">
        <f t="array" ref="G87">SALESTABLE[[#This Row],[Quantity]]*_xlfn.XLOOKUP(SALESTABLE[[#This Row],[Product_ID]],ProductsTable[Product_ID],ProductsTable[Unit_Price],WAASIU,0,1)</f>
        <v>3495.7</v>
      </c>
      <c r="H87" cm="1">
        <f t="array" ref="H87">SALESTABLE[[#This Row],[Quantity]]*_xlfn.XLOOKUP(SALESTABLE[[#This Row],[Product_ID]],ProductsTable[Product_ID],ProductsTable[Cost_Price],WAASIU,0,1)</f>
        <v>2026.1800000000003</v>
      </c>
      <c r="I87">
        <f>SALESTABLE[[#This Row],[Revenue]]-SALESTABLE[[#This Row],[COST]]</f>
        <v>1469.5199999999995</v>
      </c>
      <c r="J87">
        <f>SALESTABLE[[#This Row],[PROFIT]]/SALESTABLE[[#This Row],[Revenue]]*100</f>
        <v>42.037932316846401</v>
      </c>
    </row>
    <row r="88" spans="1:10" x14ac:dyDescent="0.35">
      <c r="A88" t="s">
        <v>183</v>
      </c>
      <c r="B88" s="4">
        <v>45219</v>
      </c>
      <c r="C88" t="s">
        <v>184</v>
      </c>
      <c r="D88" t="s">
        <v>28</v>
      </c>
      <c r="E88">
        <v>11</v>
      </c>
      <c r="F88">
        <v>15</v>
      </c>
      <c r="G88" cm="1">
        <f t="array" ref="G88">SALESTABLE[[#This Row],[Quantity]]*_xlfn.XLOOKUP(SALESTABLE[[#This Row],[Product_ID]],ProductsTable[Product_ID],ProductsTable[Unit_Price],WAASIU,0,1)</f>
        <v>4680.2800000000007</v>
      </c>
      <c r="H88" cm="1">
        <f t="array" ref="H88">SALESTABLE[[#This Row],[Quantity]]*_xlfn.XLOOKUP(SALESTABLE[[#This Row],[Product_ID]],ProductsTable[Product_ID],ProductsTable[Cost_Price],WAASIU,0,1)</f>
        <v>2568.2799999999997</v>
      </c>
      <c r="I88">
        <f>SALESTABLE[[#This Row],[Revenue]]-SALESTABLE[[#This Row],[COST]]</f>
        <v>2112.0000000000009</v>
      </c>
      <c r="J88">
        <f>SALESTABLE[[#This Row],[PROFIT]]/SALESTABLE[[#This Row],[Revenue]]*100</f>
        <v>45.125505311648034</v>
      </c>
    </row>
    <row r="89" spans="1:10" x14ac:dyDescent="0.35">
      <c r="A89" t="s">
        <v>185</v>
      </c>
      <c r="B89" s="4">
        <v>45362</v>
      </c>
      <c r="C89" t="s">
        <v>40</v>
      </c>
      <c r="D89" t="s">
        <v>8</v>
      </c>
      <c r="E89">
        <v>2</v>
      </c>
      <c r="F89">
        <v>10</v>
      </c>
      <c r="G89" cm="1">
        <f t="array" ref="G89">SALESTABLE[[#This Row],[Quantity]]*_xlfn.XLOOKUP(SALESTABLE[[#This Row],[Product_ID]],ProductsTable[Product_ID],ProductsTable[Unit_Price],WAASIU,0,1)</f>
        <v>672.64</v>
      </c>
      <c r="H89" cm="1">
        <f t="array" ref="H89">SALESTABLE[[#This Row],[Quantity]]*_xlfn.XLOOKUP(SALESTABLE[[#This Row],[Product_ID]],ProductsTable[Product_ID],ProductsTable[Cost_Price],WAASIU,0,1)</f>
        <v>455.56</v>
      </c>
      <c r="I89">
        <f>SALESTABLE[[#This Row],[Revenue]]-SALESTABLE[[#This Row],[COST]]</f>
        <v>217.07999999999998</v>
      </c>
      <c r="J89">
        <f>SALESTABLE[[#This Row],[PROFIT]]/SALESTABLE[[#This Row],[Revenue]]*100</f>
        <v>32.272835394862028</v>
      </c>
    </row>
    <row r="90" spans="1:10" x14ac:dyDescent="0.35">
      <c r="A90" t="s">
        <v>186</v>
      </c>
      <c r="B90" s="4">
        <v>45011</v>
      </c>
      <c r="C90" t="s">
        <v>187</v>
      </c>
      <c r="D90" t="s">
        <v>84</v>
      </c>
      <c r="E90">
        <v>4</v>
      </c>
      <c r="F90">
        <v>5</v>
      </c>
      <c r="G90" cm="1">
        <f t="array" ref="G90">SALESTABLE[[#This Row],[Quantity]]*_xlfn.XLOOKUP(SALESTABLE[[#This Row],[Product_ID]],ProductsTable[Product_ID],ProductsTable[Unit_Price],WAASIU,0,1)</f>
        <v>1075.5999999999999</v>
      </c>
      <c r="H90" cm="1">
        <f t="array" ref="H90">SALESTABLE[[#This Row],[Quantity]]*_xlfn.XLOOKUP(SALESTABLE[[#This Row],[Product_ID]],ProductsTable[Product_ID],ProductsTable[Cost_Price],WAASIU,0,1)</f>
        <v>623.44000000000005</v>
      </c>
      <c r="I90">
        <f>SALESTABLE[[#This Row],[Revenue]]-SALESTABLE[[#This Row],[COST]]</f>
        <v>452.15999999999985</v>
      </c>
      <c r="J90">
        <f>SALESTABLE[[#This Row],[PROFIT]]/SALESTABLE[[#This Row],[Revenue]]*100</f>
        <v>42.037932316846401</v>
      </c>
    </row>
    <row r="91" spans="1:10" x14ac:dyDescent="0.35">
      <c r="A91" t="s">
        <v>188</v>
      </c>
      <c r="B91" s="4">
        <v>45511</v>
      </c>
      <c r="C91" t="s">
        <v>7</v>
      </c>
      <c r="D91" t="s">
        <v>84</v>
      </c>
      <c r="E91">
        <v>4</v>
      </c>
      <c r="F91">
        <v>10</v>
      </c>
      <c r="G91" cm="1">
        <f t="array" ref="G91">SALESTABLE[[#This Row],[Quantity]]*_xlfn.XLOOKUP(SALESTABLE[[#This Row],[Product_ID]],ProductsTable[Product_ID],ProductsTable[Unit_Price],WAASIU,0,1)</f>
        <v>1075.5999999999999</v>
      </c>
      <c r="H91" cm="1">
        <f t="array" ref="H91">SALESTABLE[[#This Row],[Quantity]]*_xlfn.XLOOKUP(SALESTABLE[[#This Row],[Product_ID]],ProductsTable[Product_ID],ProductsTable[Cost_Price],WAASIU,0,1)</f>
        <v>623.44000000000005</v>
      </c>
      <c r="I91">
        <f>SALESTABLE[[#This Row],[Revenue]]-SALESTABLE[[#This Row],[COST]]</f>
        <v>452.15999999999985</v>
      </c>
      <c r="J91">
        <f>SALESTABLE[[#This Row],[PROFIT]]/SALESTABLE[[#This Row],[Revenue]]*100</f>
        <v>42.037932316846401</v>
      </c>
    </row>
    <row r="92" spans="1:10" x14ac:dyDescent="0.35">
      <c r="A92" t="s">
        <v>189</v>
      </c>
      <c r="B92" s="4">
        <v>45108</v>
      </c>
      <c r="C92" t="s">
        <v>190</v>
      </c>
      <c r="D92" t="s">
        <v>110</v>
      </c>
      <c r="E92">
        <v>18</v>
      </c>
      <c r="F92">
        <v>10</v>
      </c>
      <c r="G92" cm="1">
        <f t="array" ref="G92">SALESTABLE[[#This Row],[Quantity]]*_xlfn.XLOOKUP(SALESTABLE[[#This Row],[Product_ID]],ProductsTable[Product_ID],ProductsTable[Unit_Price],WAASIU,0,1)</f>
        <v>8843.76</v>
      </c>
      <c r="H92" cm="1">
        <f t="array" ref="H92">SALESTABLE[[#This Row],[Quantity]]*_xlfn.XLOOKUP(SALESTABLE[[#This Row],[Product_ID]],ProductsTable[Product_ID],ProductsTable[Cost_Price],WAASIU,0,1)</f>
        <v>4825.9800000000005</v>
      </c>
      <c r="I92">
        <f>SALESTABLE[[#This Row],[Revenue]]-SALESTABLE[[#This Row],[COST]]</f>
        <v>4017.7799999999997</v>
      </c>
      <c r="J92">
        <f>SALESTABLE[[#This Row],[PROFIT]]/SALESTABLE[[#This Row],[Revenue]]*100</f>
        <v>45.430676544818041</v>
      </c>
    </row>
    <row r="93" spans="1:10" x14ac:dyDescent="0.35">
      <c r="A93" t="s">
        <v>191</v>
      </c>
      <c r="B93" s="4">
        <v>45127</v>
      </c>
      <c r="C93" t="s">
        <v>120</v>
      </c>
      <c r="D93" t="s">
        <v>113</v>
      </c>
      <c r="E93">
        <v>13</v>
      </c>
      <c r="F93">
        <v>10</v>
      </c>
      <c r="G93" cm="1">
        <f t="array" ref="G93">SALESTABLE[[#This Row],[Quantity]]*_xlfn.XLOOKUP(SALESTABLE[[#This Row],[Product_ID]],ProductsTable[Product_ID],ProductsTable[Unit_Price],WAASIU,0,1)</f>
        <v>4382.17</v>
      </c>
      <c r="H93" cm="1">
        <f t="array" ref="H93">SALESTABLE[[#This Row],[Quantity]]*_xlfn.XLOOKUP(SALESTABLE[[#This Row],[Product_ID]],ProductsTable[Product_ID],ProductsTable[Cost_Price],WAASIU,0,1)</f>
        <v>2423.33</v>
      </c>
      <c r="I93">
        <f>SALESTABLE[[#This Row],[Revenue]]-SALESTABLE[[#This Row],[COST]]</f>
        <v>1958.8400000000001</v>
      </c>
      <c r="J93">
        <f>SALESTABLE[[#This Row],[PROFIT]]/SALESTABLE[[#This Row],[Revenue]]*100</f>
        <v>44.700228425643004</v>
      </c>
    </row>
    <row r="94" spans="1:10" x14ac:dyDescent="0.35">
      <c r="A94" t="s">
        <v>192</v>
      </c>
      <c r="B94" s="4">
        <v>45339</v>
      </c>
      <c r="C94" t="s">
        <v>193</v>
      </c>
      <c r="D94" t="s">
        <v>22</v>
      </c>
      <c r="E94">
        <v>20</v>
      </c>
      <c r="F94">
        <v>5</v>
      </c>
      <c r="G94" cm="1">
        <f t="array" ref="G94">SALESTABLE[[#This Row],[Quantity]]*_xlfn.XLOOKUP(SALESTABLE[[#This Row],[Product_ID]],ProductsTable[Product_ID],ProductsTable[Unit_Price],WAASIU,0,1)</f>
        <v>8393.4</v>
      </c>
      <c r="H94" cm="1">
        <f t="array" ref="H94">SALESTABLE[[#This Row],[Quantity]]*_xlfn.XLOOKUP(SALESTABLE[[#This Row],[Product_ID]],ProductsTable[Product_ID],ProductsTable[Cost_Price],WAASIU,0,1)</f>
        <v>4268.3999999999996</v>
      </c>
      <c r="I94">
        <f>SALESTABLE[[#This Row],[Revenue]]-SALESTABLE[[#This Row],[COST]]</f>
        <v>4125</v>
      </c>
      <c r="J94">
        <f>SALESTABLE[[#This Row],[PROFIT]]/SALESTABLE[[#This Row],[Revenue]]*100</f>
        <v>49.145757380799196</v>
      </c>
    </row>
    <row r="95" spans="1:10" x14ac:dyDescent="0.35">
      <c r="A95" t="s">
        <v>194</v>
      </c>
      <c r="B95" s="4">
        <v>44994</v>
      </c>
      <c r="C95" t="s">
        <v>195</v>
      </c>
      <c r="D95" t="s">
        <v>77</v>
      </c>
      <c r="E95">
        <v>17</v>
      </c>
      <c r="F95">
        <v>15</v>
      </c>
      <c r="G95" cm="1">
        <f t="array" ref="G95">SALESTABLE[[#This Row],[Quantity]]*_xlfn.XLOOKUP(SALESTABLE[[#This Row],[Product_ID]],ProductsTable[Product_ID],ProductsTable[Unit_Price],WAASIU,0,1)</f>
        <v>1560.6</v>
      </c>
      <c r="H95" cm="1">
        <f t="array" ref="H95">SALESTABLE[[#This Row],[Quantity]]*_xlfn.XLOOKUP(SALESTABLE[[#This Row],[Product_ID]],ProductsTable[Product_ID],ProductsTable[Cost_Price],WAASIU,0,1)</f>
        <v>832.49</v>
      </c>
      <c r="I95">
        <f>SALESTABLE[[#This Row],[Revenue]]-SALESTABLE[[#This Row],[COST]]</f>
        <v>728.1099999999999</v>
      </c>
      <c r="J95">
        <f>SALESTABLE[[#This Row],[PROFIT]]/SALESTABLE[[#This Row],[Revenue]]*100</f>
        <v>46.655773420479299</v>
      </c>
    </row>
    <row r="96" spans="1:10" x14ac:dyDescent="0.35">
      <c r="A96" t="s">
        <v>196</v>
      </c>
      <c r="B96" s="4">
        <v>45265</v>
      </c>
      <c r="C96" t="s">
        <v>193</v>
      </c>
      <c r="D96" t="s">
        <v>77</v>
      </c>
      <c r="E96">
        <v>17</v>
      </c>
      <c r="F96">
        <v>10</v>
      </c>
      <c r="G96" cm="1">
        <f t="array" ref="G96">SALESTABLE[[#This Row],[Quantity]]*_xlfn.XLOOKUP(SALESTABLE[[#This Row],[Product_ID]],ProductsTable[Product_ID],ProductsTable[Unit_Price],WAASIU,0,1)</f>
        <v>1560.6</v>
      </c>
      <c r="H96" cm="1">
        <f t="array" ref="H96">SALESTABLE[[#This Row],[Quantity]]*_xlfn.XLOOKUP(SALESTABLE[[#This Row],[Product_ID]],ProductsTable[Product_ID],ProductsTable[Cost_Price],WAASIU,0,1)</f>
        <v>832.49</v>
      </c>
      <c r="I96">
        <f>SALESTABLE[[#This Row],[Revenue]]-SALESTABLE[[#This Row],[COST]]</f>
        <v>728.1099999999999</v>
      </c>
      <c r="J96">
        <f>SALESTABLE[[#This Row],[PROFIT]]/SALESTABLE[[#This Row],[Revenue]]*100</f>
        <v>46.655773420479299</v>
      </c>
    </row>
    <row r="97" spans="1:10" x14ac:dyDescent="0.35">
      <c r="A97" t="s">
        <v>197</v>
      </c>
      <c r="B97" s="4">
        <v>45107</v>
      </c>
      <c r="C97" t="s">
        <v>198</v>
      </c>
      <c r="D97" t="s">
        <v>13</v>
      </c>
      <c r="E97">
        <v>18</v>
      </c>
      <c r="F97">
        <v>15</v>
      </c>
      <c r="G97" cm="1">
        <f t="array" ref="G97">SALESTABLE[[#This Row],[Quantity]]*_xlfn.XLOOKUP(SALESTABLE[[#This Row],[Product_ID]],ProductsTable[Product_ID],ProductsTable[Unit_Price],WAASIU,0,1)</f>
        <v>7833.24</v>
      </c>
      <c r="H97" cm="1">
        <f t="array" ref="H97">SALESTABLE[[#This Row],[Quantity]]*_xlfn.XLOOKUP(SALESTABLE[[#This Row],[Product_ID]],ProductsTable[Product_ID],ProductsTable[Cost_Price],WAASIU,0,1)</f>
        <v>4157.0999999999995</v>
      </c>
      <c r="I97">
        <f>SALESTABLE[[#This Row],[Revenue]]-SALESTABLE[[#This Row],[COST]]</f>
        <v>3676.1400000000003</v>
      </c>
      <c r="J97">
        <f>SALESTABLE[[#This Row],[PROFIT]]/SALESTABLE[[#This Row],[Revenue]]*100</f>
        <v>46.930005974539277</v>
      </c>
    </row>
    <row r="98" spans="1:10" x14ac:dyDescent="0.35">
      <c r="A98" t="s">
        <v>199</v>
      </c>
      <c r="B98" s="4">
        <v>45314</v>
      </c>
      <c r="C98" t="s">
        <v>65</v>
      </c>
      <c r="D98" t="s">
        <v>34</v>
      </c>
      <c r="E98">
        <v>9</v>
      </c>
      <c r="F98">
        <v>20</v>
      </c>
      <c r="G98" cm="1">
        <f t="array" ref="G98">SALESTABLE[[#This Row],[Quantity]]*_xlfn.XLOOKUP(SALESTABLE[[#This Row],[Product_ID]],ProductsTable[Product_ID],ProductsTable[Unit_Price],WAASIU,0,1)</f>
        <v>2958.75</v>
      </c>
      <c r="H98" cm="1">
        <f t="array" ref="H98">SALESTABLE[[#This Row],[Quantity]]*_xlfn.XLOOKUP(SALESTABLE[[#This Row],[Product_ID]],ProductsTable[Product_ID],ProductsTable[Cost_Price],WAASIU,0,1)</f>
        <v>2098.62</v>
      </c>
      <c r="I98">
        <f>SALESTABLE[[#This Row],[Revenue]]-SALESTABLE[[#This Row],[COST]]</f>
        <v>860.13000000000011</v>
      </c>
      <c r="J98">
        <f>SALESTABLE[[#This Row],[PROFIT]]/SALESTABLE[[#This Row],[Revenue]]*100</f>
        <v>29.070722433460077</v>
      </c>
    </row>
    <row r="99" spans="1:10" x14ac:dyDescent="0.35">
      <c r="A99" t="s">
        <v>200</v>
      </c>
      <c r="B99" s="4">
        <v>44960</v>
      </c>
      <c r="C99" t="s">
        <v>7</v>
      </c>
      <c r="D99" t="s">
        <v>125</v>
      </c>
      <c r="E99">
        <v>6</v>
      </c>
      <c r="F99">
        <v>15</v>
      </c>
      <c r="G99" cm="1">
        <f t="array" ref="G99">SALESTABLE[[#This Row],[Quantity]]*_xlfn.XLOOKUP(SALESTABLE[[#This Row],[Product_ID]],ProductsTable[Product_ID],ProductsTable[Unit_Price],WAASIU,0,1)</f>
        <v>2008.1999999999998</v>
      </c>
      <c r="H99" cm="1">
        <f t="array" ref="H99">SALESTABLE[[#This Row],[Quantity]]*_xlfn.XLOOKUP(SALESTABLE[[#This Row],[Product_ID]],ProductsTable[Product_ID],ProductsTable[Cost_Price],WAASIU,0,1)</f>
        <v>1497.1200000000001</v>
      </c>
      <c r="I99">
        <f>SALESTABLE[[#This Row],[Revenue]]-SALESTABLE[[#This Row],[COST]]</f>
        <v>511.0799999999997</v>
      </c>
      <c r="J99">
        <f>SALESTABLE[[#This Row],[PROFIT]]/SALESTABLE[[#This Row],[Revenue]]*100</f>
        <v>25.44965640872422</v>
      </c>
    </row>
    <row r="100" spans="1:10" x14ac:dyDescent="0.35">
      <c r="A100" t="s">
        <v>201</v>
      </c>
      <c r="B100" s="4">
        <v>45138</v>
      </c>
      <c r="C100" t="s">
        <v>171</v>
      </c>
      <c r="D100" t="s">
        <v>11</v>
      </c>
      <c r="E100">
        <v>19</v>
      </c>
      <c r="F100">
        <v>0</v>
      </c>
      <c r="G100" cm="1">
        <f t="array" ref="G100">SALESTABLE[[#This Row],[Quantity]]*_xlfn.XLOOKUP(SALESTABLE[[#This Row],[Product_ID]],ProductsTable[Product_ID],ProductsTable[Unit_Price],WAASIU,0,1)</f>
        <v>9068.1299999999992</v>
      </c>
      <c r="H100" cm="1">
        <f t="array" ref="H100">SALESTABLE[[#This Row],[Quantity]]*_xlfn.XLOOKUP(SALESTABLE[[#This Row],[Product_ID]],ProductsTable[Product_ID],ProductsTable[Cost_Price],WAASIU,0,1)</f>
        <v>5677.9599999999991</v>
      </c>
      <c r="I100">
        <f>SALESTABLE[[#This Row],[Revenue]]-SALESTABLE[[#This Row],[COST]]</f>
        <v>3390.17</v>
      </c>
      <c r="J100">
        <f>SALESTABLE[[#This Row],[PROFIT]]/SALESTABLE[[#This Row],[Revenue]]*100</f>
        <v>37.385546965030279</v>
      </c>
    </row>
    <row r="101" spans="1:10" x14ac:dyDescent="0.35">
      <c r="A101" t="s">
        <v>202</v>
      </c>
      <c r="B101" s="4">
        <v>45525</v>
      </c>
      <c r="C101" t="s">
        <v>198</v>
      </c>
      <c r="D101" t="s">
        <v>137</v>
      </c>
      <c r="E101">
        <v>19</v>
      </c>
      <c r="F101">
        <v>20</v>
      </c>
      <c r="G101" cm="1">
        <f t="array" ref="G101">SALESTABLE[[#This Row],[Quantity]]*_xlfn.XLOOKUP(SALESTABLE[[#This Row],[Product_ID]],ProductsTable[Product_ID],ProductsTable[Unit_Price],WAASIU,0,1)</f>
        <v>6905.36</v>
      </c>
      <c r="H101" cm="1">
        <f t="array" ref="H101">SALESTABLE[[#This Row],[Quantity]]*_xlfn.XLOOKUP(SALESTABLE[[#This Row],[Product_ID]],ProductsTable[Product_ID],ProductsTable[Cost_Price],WAASIU,0,1)</f>
        <v>4750.95</v>
      </c>
      <c r="I101">
        <f>SALESTABLE[[#This Row],[Revenue]]-SALESTABLE[[#This Row],[COST]]</f>
        <v>2154.41</v>
      </c>
      <c r="J101">
        <f>SALESTABLE[[#This Row],[PROFIT]]/SALESTABLE[[#This Row],[Revenue]]*100</f>
        <v>31.199097512656831</v>
      </c>
    </row>
    <row r="102" spans="1:10" x14ac:dyDescent="0.35">
      <c r="A102" t="s">
        <v>203</v>
      </c>
      <c r="B102" s="4">
        <v>45361</v>
      </c>
      <c r="C102" t="s">
        <v>174</v>
      </c>
      <c r="D102" t="s">
        <v>139</v>
      </c>
      <c r="E102">
        <v>6</v>
      </c>
      <c r="F102">
        <v>20</v>
      </c>
      <c r="G102" cm="1">
        <f t="array" ref="G102">SALESTABLE[[#This Row],[Quantity]]*_xlfn.XLOOKUP(SALESTABLE[[#This Row],[Product_ID]],ProductsTable[Product_ID],ProductsTable[Unit_Price],WAASIU,0,1)</f>
        <v>2742.66</v>
      </c>
      <c r="H102" cm="1">
        <f t="array" ref="H102">SALESTABLE[[#This Row],[Quantity]]*_xlfn.XLOOKUP(SALESTABLE[[#This Row],[Product_ID]],ProductsTable[Product_ID],ProductsTable[Cost_Price],WAASIU,0,1)</f>
        <v>1965.12</v>
      </c>
      <c r="I102">
        <f>SALESTABLE[[#This Row],[Revenue]]-SALESTABLE[[#This Row],[COST]]</f>
        <v>777.54</v>
      </c>
      <c r="J102">
        <f>SALESTABLE[[#This Row],[PROFIT]]/SALESTABLE[[#This Row],[Revenue]]*100</f>
        <v>28.349850145479206</v>
      </c>
    </row>
    <row r="103" spans="1:10" x14ac:dyDescent="0.35">
      <c r="A103" t="s">
        <v>204</v>
      </c>
      <c r="B103" s="4">
        <v>44998</v>
      </c>
      <c r="C103" t="s">
        <v>71</v>
      </c>
      <c r="D103" t="s">
        <v>28</v>
      </c>
      <c r="E103">
        <v>1</v>
      </c>
      <c r="F103">
        <v>0</v>
      </c>
      <c r="G103" cm="1">
        <f t="array" ref="G103">SALESTABLE[[#This Row],[Quantity]]*_xlfn.XLOOKUP(SALESTABLE[[#This Row],[Product_ID]],ProductsTable[Product_ID],ProductsTable[Unit_Price],WAASIU,0,1)</f>
        <v>425.48</v>
      </c>
      <c r="H103" cm="1">
        <f t="array" ref="H103">SALESTABLE[[#This Row],[Quantity]]*_xlfn.XLOOKUP(SALESTABLE[[#This Row],[Product_ID]],ProductsTable[Product_ID],ProductsTable[Cost_Price],WAASIU,0,1)</f>
        <v>233.48</v>
      </c>
      <c r="I103">
        <f>SALESTABLE[[#This Row],[Revenue]]-SALESTABLE[[#This Row],[COST]]</f>
        <v>192.00000000000003</v>
      </c>
      <c r="J103">
        <f>SALESTABLE[[#This Row],[PROFIT]]/SALESTABLE[[#This Row],[Revenue]]*100</f>
        <v>45.12550531164802</v>
      </c>
    </row>
    <row r="104" spans="1:10" x14ac:dyDescent="0.35">
      <c r="A104" t="s">
        <v>205</v>
      </c>
      <c r="B104" s="4">
        <v>45587</v>
      </c>
      <c r="C104" t="s">
        <v>76</v>
      </c>
      <c r="D104" t="s">
        <v>22</v>
      </c>
      <c r="E104">
        <v>19</v>
      </c>
      <c r="F104">
        <v>5</v>
      </c>
      <c r="G104" cm="1">
        <f t="array" ref="G104">SALESTABLE[[#This Row],[Quantity]]*_xlfn.XLOOKUP(SALESTABLE[[#This Row],[Product_ID]],ProductsTable[Product_ID],ProductsTable[Unit_Price],WAASIU,0,1)</f>
        <v>7973.7300000000005</v>
      </c>
      <c r="H104" cm="1">
        <f t="array" ref="H104">SALESTABLE[[#This Row],[Quantity]]*_xlfn.XLOOKUP(SALESTABLE[[#This Row],[Product_ID]],ProductsTable[Product_ID],ProductsTable[Cost_Price],WAASIU,0,1)</f>
        <v>4054.9799999999996</v>
      </c>
      <c r="I104">
        <f>SALESTABLE[[#This Row],[Revenue]]-SALESTABLE[[#This Row],[COST]]</f>
        <v>3918.7500000000009</v>
      </c>
      <c r="J104">
        <f>SALESTABLE[[#This Row],[PROFIT]]/SALESTABLE[[#This Row],[Revenue]]*100</f>
        <v>49.145757380799211</v>
      </c>
    </row>
    <row r="105" spans="1:10" x14ac:dyDescent="0.35">
      <c r="A105" t="s">
        <v>206</v>
      </c>
      <c r="B105" s="4">
        <v>45229</v>
      </c>
      <c r="C105" t="s">
        <v>154</v>
      </c>
      <c r="D105" t="s">
        <v>139</v>
      </c>
      <c r="E105">
        <v>3</v>
      </c>
      <c r="F105">
        <v>0</v>
      </c>
      <c r="G105" cm="1">
        <f t="array" ref="G105">SALESTABLE[[#This Row],[Quantity]]*_xlfn.XLOOKUP(SALESTABLE[[#This Row],[Product_ID]],ProductsTable[Product_ID],ProductsTable[Unit_Price],WAASIU,0,1)</f>
        <v>1371.33</v>
      </c>
      <c r="H105" cm="1">
        <f t="array" ref="H105">SALESTABLE[[#This Row],[Quantity]]*_xlfn.XLOOKUP(SALESTABLE[[#This Row],[Product_ID]],ProductsTable[Product_ID],ProductsTable[Cost_Price],WAASIU,0,1)</f>
        <v>982.56</v>
      </c>
      <c r="I105">
        <f>SALESTABLE[[#This Row],[Revenue]]-SALESTABLE[[#This Row],[COST]]</f>
        <v>388.77</v>
      </c>
      <c r="J105">
        <f>SALESTABLE[[#This Row],[PROFIT]]/SALESTABLE[[#This Row],[Revenue]]*100</f>
        <v>28.349850145479206</v>
      </c>
    </row>
    <row r="106" spans="1:10" x14ac:dyDescent="0.35">
      <c r="A106" t="s">
        <v>207</v>
      </c>
      <c r="B106" s="4">
        <v>45310</v>
      </c>
      <c r="C106" t="s">
        <v>106</v>
      </c>
      <c r="D106" t="s">
        <v>100</v>
      </c>
      <c r="E106">
        <v>17</v>
      </c>
      <c r="F106">
        <v>0</v>
      </c>
      <c r="G106" cm="1">
        <f t="array" ref="G106">SALESTABLE[[#This Row],[Quantity]]*_xlfn.XLOOKUP(SALESTABLE[[#This Row],[Product_ID]],ProductsTable[Product_ID],ProductsTable[Unit_Price],WAASIU,0,1)</f>
        <v>6958.44</v>
      </c>
      <c r="H106" cm="1">
        <f t="array" ref="H106">SALESTABLE[[#This Row],[Quantity]]*_xlfn.XLOOKUP(SALESTABLE[[#This Row],[Product_ID]],ProductsTable[Product_ID],ProductsTable[Cost_Price],WAASIU,0,1)</f>
        <v>3615.05</v>
      </c>
      <c r="I106">
        <f>SALESTABLE[[#This Row],[Revenue]]-SALESTABLE[[#This Row],[COST]]</f>
        <v>3343.3899999999994</v>
      </c>
      <c r="J106">
        <f>SALESTABLE[[#This Row],[PROFIT]]/SALESTABLE[[#This Row],[Revenue]]*100</f>
        <v>48.047982018958265</v>
      </c>
    </row>
    <row r="107" spans="1:10" x14ac:dyDescent="0.35">
      <c r="A107" t="s">
        <v>208</v>
      </c>
      <c r="B107" s="4">
        <v>45619</v>
      </c>
      <c r="C107" t="s">
        <v>209</v>
      </c>
      <c r="D107" t="s">
        <v>52</v>
      </c>
      <c r="E107">
        <v>9</v>
      </c>
      <c r="F107">
        <v>20</v>
      </c>
      <c r="G107" cm="1">
        <f t="array" ref="G107">SALESTABLE[[#This Row],[Quantity]]*_xlfn.XLOOKUP(SALESTABLE[[#This Row],[Product_ID]],ProductsTable[Product_ID],ProductsTable[Unit_Price],WAASIU,0,1)</f>
        <v>1654.02</v>
      </c>
      <c r="H107" cm="1">
        <f t="array" ref="H107">SALESTABLE[[#This Row],[Quantity]]*_xlfn.XLOOKUP(SALESTABLE[[#This Row],[Product_ID]],ProductsTable[Product_ID],ProductsTable[Cost_Price],WAASIU,0,1)</f>
        <v>1040.67</v>
      </c>
      <c r="I107">
        <f>SALESTABLE[[#This Row],[Revenue]]-SALESTABLE[[#This Row],[COST]]</f>
        <v>613.34999999999991</v>
      </c>
      <c r="J107">
        <f>SALESTABLE[[#This Row],[PROFIT]]/SALESTABLE[[#This Row],[Revenue]]*100</f>
        <v>37.082381107846338</v>
      </c>
    </row>
    <row r="108" spans="1:10" x14ac:dyDescent="0.35">
      <c r="A108" t="s">
        <v>210</v>
      </c>
      <c r="B108" s="4">
        <v>44991</v>
      </c>
      <c r="C108" t="s">
        <v>30</v>
      </c>
      <c r="D108" t="s">
        <v>139</v>
      </c>
      <c r="E108">
        <v>13</v>
      </c>
      <c r="F108">
        <v>0</v>
      </c>
      <c r="G108" cm="1">
        <f t="array" ref="G108">SALESTABLE[[#This Row],[Quantity]]*_xlfn.XLOOKUP(SALESTABLE[[#This Row],[Product_ID]],ProductsTable[Product_ID],ProductsTable[Unit_Price],WAASIU,0,1)</f>
        <v>5942.43</v>
      </c>
      <c r="H108" cm="1">
        <f t="array" ref="H108">SALESTABLE[[#This Row],[Quantity]]*_xlfn.XLOOKUP(SALESTABLE[[#This Row],[Product_ID]],ProductsTable[Product_ID],ProductsTable[Cost_Price],WAASIU,0,1)</f>
        <v>4257.76</v>
      </c>
      <c r="I108">
        <f>SALESTABLE[[#This Row],[Revenue]]-SALESTABLE[[#This Row],[COST]]</f>
        <v>1684.67</v>
      </c>
      <c r="J108">
        <f>SALESTABLE[[#This Row],[PROFIT]]/SALESTABLE[[#This Row],[Revenue]]*100</f>
        <v>28.349850145479206</v>
      </c>
    </row>
    <row r="109" spans="1:10" x14ac:dyDescent="0.35">
      <c r="A109" t="s">
        <v>211</v>
      </c>
      <c r="B109" s="4">
        <v>45634</v>
      </c>
      <c r="C109" t="s">
        <v>112</v>
      </c>
      <c r="D109" t="s">
        <v>93</v>
      </c>
      <c r="E109">
        <v>9</v>
      </c>
      <c r="F109">
        <v>5</v>
      </c>
      <c r="G109" cm="1">
        <f t="array" ref="G109">SALESTABLE[[#This Row],[Quantity]]*_xlfn.XLOOKUP(SALESTABLE[[#This Row],[Product_ID]],ProductsTable[Product_ID],ProductsTable[Unit_Price],WAASIU,0,1)</f>
        <v>1926.27</v>
      </c>
      <c r="H109" cm="1">
        <f t="array" ref="H109">SALESTABLE[[#This Row],[Quantity]]*_xlfn.XLOOKUP(SALESTABLE[[#This Row],[Product_ID]],ProductsTable[Product_ID],ProductsTable[Cost_Price],WAASIU,0,1)</f>
        <v>1410.39</v>
      </c>
      <c r="I109">
        <f>SALESTABLE[[#This Row],[Revenue]]-SALESTABLE[[#This Row],[COST]]</f>
        <v>515.87999999999988</v>
      </c>
      <c r="J109">
        <f>SALESTABLE[[#This Row],[PROFIT]]/SALESTABLE[[#This Row],[Revenue]]*100</f>
        <v>26.781292342195012</v>
      </c>
    </row>
    <row r="110" spans="1:10" x14ac:dyDescent="0.35">
      <c r="A110" t="s">
        <v>212</v>
      </c>
      <c r="B110" s="4">
        <v>44977</v>
      </c>
      <c r="C110" t="s">
        <v>146</v>
      </c>
      <c r="D110" t="s">
        <v>52</v>
      </c>
      <c r="E110">
        <v>5</v>
      </c>
      <c r="F110">
        <v>5</v>
      </c>
      <c r="G110" cm="1">
        <f t="array" ref="G110">SALESTABLE[[#This Row],[Quantity]]*_xlfn.XLOOKUP(SALESTABLE[[#This Row],[Product_ID]],ProductsTable[Product_ID],ProductsTable[Unit_Price],WAASIU,0,1)</f>
        <v>918.9</v>
      </c>
      <c r="H110" cm="1">
        <f t="array" ref="H110">SALESTABLE[[#This Row],[Quantity]]*_xlfn.XLOOKUP(SALESTABLE[[#This Row],[Product_ID]],ProductsTable[Product_ID],ProductsTable[Cost_Price],WAASIU,0,1)</f>
        <v>578.15</v>
      </c>
      <c r="I110">
        <f>SALESTABLE[[#This Row],[Revenue]]-SALESTABLE[[#This Row],[COST]]</f>
        <v>340.75</v>
      </c>
      <c r="J110">
        <f>SALESTABLE[[#This Row],[PROFIT]]/SALESTABLE[[#This Row],[Revenue]]*100</f>
        <v>37.082381107846338</v>
      </c>
    </row>
    <row r="111" spans="1:10" x14ac:dyDescent="0.35">
      <c r="A111" t="s">
        <v>213</v>
      </c>
      <c r="B111" s="4">
        <v>45255</v>
      </c>
      <c r="C111" t="s">
        <v>187</v>
      </c>
      <c r="D111" t="s">
        <v>13</v>
      </c>
      <c r="E111">
        <v>19</v>
      </c>
      <c r="F111">
        <v>10</v>
      </c>
      <c r="G111" cm="1">
        <f t="array" ref="G111">SALESTABLE[[#This Row],[Quantity]]*_xlfn.XLOOKUP(SALESTABLE[[#This Row],[Product_ID]],ProductsTable[Product_ID],ProductsTable[Unit_Price],WAASIU,0,1)</f>
        <v>8268.42</v>
      </c>
      <c r="H111" cm="1">
        <f t="array" ref="H111">SALESTABLE[[#This Row],[Quantity]]*_xlfn.XLOOKUP(SALESTABLE[[#This Row],[Product_ID]],ProductsTable[Product_ID],ProductsTable[Cost_Price],WAASIU,0,1)</f>
        <v>4388.05</v>
      </c>
      <c r="I111">
        <f>SALESTABLE[[#This Row],[Revenue]]-SALESTABLE[[#This Row],[COST]]</f>
        <v>3880.37</v>
      </c>
      <c r="J111">
        <f>SALESTABLE[[#This Row],[PROFIT]]/SALESTABLE[[#This Row],[Revenue]]*100</f>
        <v>46.93000597453927</v>
      </c>
    </row>
    <row r="112" spans="1:10" x14ac:dyDescent="0.35">
      <c r="A112" t="s">
        <v>214</v>
      </c>
      <c r="B112" s="4">
        <v>45522</v>
      </c>
      <c r="C112" t="s">
        <v>10</v>
      </c>
      <c r="D112" t="s">
        <v>52</v>
      </c>
      <c r="E112">
        <v>7</v>
      </c>
      <c r="F112">
        <v>20</v>
      </c>
      <c r="G112" cm="1">
        <f t="array" ref="G112">SALESTABLE[[#This Row],[Quantity]]*_xlfn.XLOOKUP(SALESTABLE[[#This Row],[Product_ID]],ProductsTable[Product_ID],ProductsTable[Unit_Price],WAASIU,0,1)</f>
        <v>1286.46</v>
      </c>
      <c r="H112" cm="1">
        <f t="array" ref="H112">SALESTABLE[[#This Row],[Quantity]]*_xlfn.XLOOKUP(SALESTABLE[[#This Row],[Product_ID]],ProductsTable[Product_ID],ProductsTable[Cost_Price],WAASIU,0,1)</f>
        <v>809.41</v>
      </c>
      <c r="I112">
        <f>SALESTABLE[[#This Row],[Revenue]]-SALESTABLE[[#This Row],[COST]]</f>
        <v>477.05000000000007</v>
      </c>
      <c r="J112">
        <f>SALESTABLE[[#This Row],[PROFIT]]/SALESTABLE[[#This Row],[Revenue]]*100</f>
        <v>37.082381107846338</v>
      </c>
    </row>
    <row r="113" spans="1:10" x14ac:dyDescent="0.35">
      <c r="A113" t="s">
        <v>215</v>
      </c>
      <c r="B113" s="4">
        <v>45050</v>
      </c>
      <c r="C113" t="s">
        <v>179</v>
      </c>
      <c r="D113" t="s">
        <v>8</v>
      </c>
      <c r="E113">
        <v>9</v>
      </c>
      <c r="F113">
        <v>0</v>
      </c>
      <c r="G113" cm="1">
        <f t="array" ref="G113">SALESTABLE[[#This Row],[Quantity]]*_xlfn.XLOOKUP(SALESTABLE[[#This Row],[Product_ID]],ProductsTable[Product_ID],ProductsTable[Unit_Price],WAASIU,0,1)</f>
        <v>3026.88</v>
      </c>
      <c r="H113" cm="1">
        <f t="array" ref="H113">SALESTABLE[[#This Row],[Quantity]]*_xlfn.XLOOKUP(SALESTABLE[[#This Row],[Product_ID]],ProductsTable[Product_ID],ProductsTable[Cost_Price],WAASIU,0,1)</f>
        <v>2050.02</v>
      </c>
      <c r="I113">
        <f>SALESTABLE[[#This Row],[Revenue]]-SALESTABLE[[#This Row],[COST]]</f>
        <v>976.86000000000013</v>
      </c>
      <c r="J113">
        <f>SALESTABLE[[#This Row],[PROFIT]]/SALESTABLE[[#This Row],[Revenue]]*100</f>
        <v>32.272835394862035</v>
      </c>
    </row>
    <row r="114" spans="1:10" x14ac:dyDescent="0.35">
      <c r="A114" t="s">
        <v>216</v>
      </c>
      <c r="B114" s="4">
        <v>45612</v>
      </c>
      <c r="C114" t="s">
        <v>190</v>
      </c>
      <c r="D114" t="s">
        <v>127</v>
      </c>
      <c r="E114">
        <v>4</v>
      </c>
      <c r="F114">
        <v>5</v>
      </c>
      <c r="G114" cm="1">
        <f t="array" ref="G114">SALESTABLE[[#This Row],[Quantity]]*_xlfn.XLOOKUP(SALESTABLE[[#This Row],[Product_ID]],ProductsTable[Product_ID],ProductsTable[Unit_Price],WAASIU,0,1)</f>
        <v>368.28</v>
      </c>
      <c r="H114" cm="1">
        <f t="array" ref="H114">SALESTABLE[[#This Row],[Quantity]]*_xlfn.XLOOKUP(SALESTABLE[[#This Row],[Product_ID]],ProductsTable[Product_ID],ProductsTable[Cost_Price],WAASIU,0,1)</f>
        <v>225.44</v>
      </c>
      <c r="I114">
        <f>SALESTABLE[[#This Row],[Revenue]]-SALESTABLE[[#This Row],[COST]]</f>
        <v>142.83999999999997</v>
      </c>
      <c r="J114">
        <f>SALESTABLE[[#This Row],[PROFIT]]/SALESTABLE[[#This Row],[Revenue]]*100</f>
        <v>38.785706527642006</v>
      </c>
    </row>
    <row r="115" spans="1:10" x14ac:dyDescent="0.35">
      <c r="A115" t="s">
        <v>217</v>
      </c>
      <c r="B115" s="4">
        <v>45255</v>
      </c>
      <c r="C115" t="s">
        <v>144</v>
      </c>
      <c r="D115" t="s">
        <v>11</v>
      </c>
      <c r="E115">
        <v>16</v>
      </c>
      <c r="F115">
        <v>20</v>
      </c>
      <c r="G115" cm="1">
        <f t="array" ref="G115">SALESTABLE[[#This Row],[Quantity]]*_xlfn.XLOOKUP(SALESTABLE[[#This Row],[Product_ID]],ProductsTable[Product_ID],ProductsTable[Unit_Price],WAASIU,0,1)</f>
        <v>7636.32</v>
      </c>
      <c r="H115" cm="1">
        <f t="array" ref="H115">SALESTABLE[[#This Row],[Quantity]]*_xlfn.XLOOKUP(SALESTABLE[[#This Row],[Product_ID]],ProductsTable[Product_ID],ProductsTable[Cost_Price],WAASIU,0,1)</f>
        <v>4781.4399999999996</v>
      </c>
      <c r="I115">
        <f>SALESTABLE[[#This Row],[Revenue]]-SALESTABLE[[#This Row],[COST]]</f>
        <v>2854.88</v>
      </c>
      <c r="J115">
        <f>SALESTABLE[[#This Row],[PROFIT]]/SALESTABLE[[#This Row],[Revenue]]*100</f>
        <v>37.385546965030279</v>
      </c>
    </row>
    <row r="116" spans="1:10" x14ac:dyDescent="0.35">
      <c r="A116" t="s">
        <v>218</v>
      </c>
      <c r="B116" s="4">
        <v>45632</v>
      </c>
      <c r="C116" t="s">
        <v>190</v>
      </c>
      <c r="D116" t="s">
        <v>100</v>
      </c>
      <c r="E116">
        <v>19</v>
      </c>
      <c r="F116">
        <v>15</v>
      </c>
      <c r="G116" cm="1">
        <f t="array" ref="G116">SALESTABLE[[#This Row],[Quantity]]*_xlfn.XLOOKUP(SALESTABLE[[#This Row],[Product_ID]],ProductsTable[Product_ID],ProductsTable[Unit_Price],WAASIU,0,1)</f>
        <v>7777.08</v>
      </c>
      <c r="H116" cm="1">
        <f t="array" ref="H116">SALESTABLE[[#This Row],[Quantity]]*_xlfn.XLOOKUP(SALESTABLE[[#This Row],[Product_ID]],ProductsTable[Product_ID],ProductsTable[Cost_Price],WAASIU,0,1)</f>
        <v>4040.35</v>
      </c>
      <c r="I116">
        <f>SALESTABLE[[#This Row],[Revenue]]-SALESTABLE[[#This Row],[COST]]</f>
        <v>3736.73</v>
      </c>
      <c r="J116">
        <f>SALESTABLE[[#This Row],[PROFIT]]/SALESTABLE[[#This Row],[Revenue]]*100</f>
        <v>48.047982018958272</v>
      </c>
    </row>
    <row r="117" spans="1:10" x14ac:dyDescent="0.35">
      <c r="A117" t="s">
        <v>219</v>
      </c>
      <c r="B117" s="4">
        <v>45642</v>
      </c>
      <c r="C117" t="s">
        <v>131</v>
      </c>
      <c r="D117" t="s">
        <v>97</v>
      </c>
      <c r="E117">
        <v>7</v>
      </c>
      <c r="F117">
        <v>15</v>
      </c>
      <c r="G117" cm="1">
        <f t="array" ref="G117">SALESTABLE[[#This Row],[Quantity]]*_xlfn.XLOOKUP(SALESTABLE[[#This Row],[Product_ID]],ProductsTable[Product_ID],ProductsTable[Unit_Price],WAASIU,0,1)</f>
        <v>2171.4699999999998</v>
      </c>
      <c r="H117" cm="1">
        <f t="array" ref="H117">SALESTABLE[[#This Row],[Quantity]]*_xlfn.XLOOKUP(SALESTABLE[[#This Row],[Product_ID]],ProductsTable[Product_ID],ProductsTable[Cost_Price],WAASIU,0,1)</f>
        <v>1577.03</v>
      </c>
      <c r="I117">
        <f>SALESTABLE[[#This Row],[Revenue]]-SALESTABLE[[#This Row],[COST]]</f>
        <v>594.43999999999983</v>
      </c>
      <c r="J117">
        <f>SALESTABLE[[#This Row],[PROFIT]]/SALESTABLE[[#This Row],[Revenue]]*100</f>
        <v>27.375004029528377</v>
      </c>
    </row>
    <row r="118" spans="1:10" x14ac:dyDescent="0.35">
      <c r="A118" t="s">
        <v>220</v>
      </c>
      <c r="B118" s="4">
        <v>45612</v>
      </c>
      <c r="C118" t="s">
        <v>40</v>
      </c>
      <c r="D118" t="s">
        <v>139</v>
      </c>
      <c r="E118">
        <v>7</v>
      </c>
      <c r="F118">
        <v>15</v>
      </c>
      <c r="G118" cm="1">
        <f t="array" ref="G118">SALESTABLE[[#This Row],[Quantity]]*_xlfn.XLOOKUP(SALESTABLE[[#This Row],[Product_ID]],ProductsTable[Product_ID],ProductsTable[Unit_Price],WAASIU,0,1)</f>
        <v>3199.77</v>
      </c>
      <c r="H118" cm="1">
        <f t="array" ref="H118">SALESTABLE[[#This Row],[Quantity]]*_xlfn.XLOOKUP(SALESTABLE[[#This Row],[Product_ID]],ProductsTable[Product_ID],ProductsTable[Cost_Price],WAASIU,0,1)</f>
        <v>2292.64</v>
      </c>
      <c r="I118">
        <f>SALESTABLE[[#This Row],[Revenue]]-SALESTABLE[[#This Row],[COST]]</f>
        <v>907.13000000000011</v>
      </c>
      <c r="J118">
        <f>SALESTABLE[[#This Row],[PROFIT]]/SALESTABLE[[#This Row],[Revenue]]*100</f>
        <v>28.349850145479209</v>
      </c>
    </row>
    <row r="119" spans="1:10" x14ac:dyDescent="0.35">
      <c r="A119" t="s">
        <v>221</v>
      </c>
      <c r="B119" s="4">
        <v>45458</v>
      </c>
      <c r="C119" t="s">
        <v>38</v>
      </c>
      <c r="D119" t="s">
        <v>127</v>
      </c>
      <c r="E119">
        <v>2</v>
      </c>
      <c r="F119">
        <v>0</v>
      </c>
      <c r="G119" cm="1">
        <f t="array" ref="G119">SALESTABLE[[#This Row],[Quantity]]*_xlfn.XLOOKUP(SALESTABLE[[#This Row],[Product_ID]],ProductsTable[Product_ID],ProductsTable[Unit_Price],WAASIU,0,1)</f>
        <v>184.14</v>
      </c>
      <c r="H119" cm="1">
        <f t="array" ref="H119">SALESTABLE[[#This Row],[Quantity]]*_xlfn.XLOOKUP(SALESTABLE[[#This Row],[Product_ID]],ProductsTable[Product_ID],ProductsTable[Cost_Price],WAASIU,0,1)</f>
        <v>112.72</v>
      </c>
      <c r="I119">
        <f>SALESTABLE[[#This Row],[Revenue]]-SALESTABLE[[#This Row],[COST]]</f>
        <v>71.419999999999987</v>
      </c>
      <c r="J119">
        <f>SALESTABLE[[#This Row],[PROFIT]]/SALESTABLE[[#This Row],[Revenue]]*100</f>
        <v>38.785706527642006</v>
      </c>
    </row>
    <row r="120" spans="1:10" x14ac:dyDescent="0.35">
      <c r="A120" t="s">
        <v>222</v>
      </c>
      <c r="B120" s="4">
        <v>45636</v>
      </c>
      <c r="C120" t="s">
        <v>223</v>
      </c>
      <c r="D120" t="s">
        <v>125</v>
      </c>
      <c r="E120">
        <v>6</v>
      </c>
      <c r="F120">
        <v>20</v>
      </c>
      <c r="G120" cm="1">
        <f t="array" ref="G120">SALESTABLE[[#This Row],[Quantity]]*_xlfn.XLOOKUP(SALESTABLE[[#This Row],[Product_ID]],ProductsTable[Product_ID],ProductsTable[Unit_Price],WAASIU,0,1)</f>
        <v>2008.1999999999998</v>
      </c>
      <c r="H120" cm="1">
        <f t="array" ref="H120">SALESTABLE[[#This Row],[Quantity]]*_xlfn.XLOOKUP(SALESTABLE[[#This Row],[Product_ID]],ProductsTable[Product_ID],ProductsTable[Cost_Price],WAASIU,0,1)</f>
        <v>1497.1200000000001</v>
      </c>
      <c r="I120">
        <f>SALESTABLE[[#This Row],[Revenue]]-SALESTABLE[[#This Row],[COST]]</f>
        <v>511.0799999999997</v>
      </c>
      <c r="J120">
        <f>SALESTABLE[[#This Row],[PROFIT]]/SALESTABLE[[#This Row],[Revenue]]*100</f>
        <v>25.44965640872422</v>
      </c>
    </row>
    <row r="121" spans="1:10" x14ac:dyDescent="0.35">
      <c r="A121" t="s">
        <v>224</v>
      </c>
      <c r="B121" s="4">
        <v>45475</v>
      </c>
      <c r="C121" t="s">
        <v>225</v>
      </c>
      <c r="D121" t="s">
        <v>57</v>
      </c>
      <c r="E121">
        <v>4</v>
      </c>
      <c r="F121">
        <v>5</v>
      </c>
      <c r="G121" cm="1">
        <f t="array" ref="G121">SALESTABLE[[#This Row],[Quantity]]*_xlfn.XLOOKUP(SALESTABLE[[#This Row],[Product_ID]],ProductsTable[Product_ID],ProductsTable[Unit_Price],WAASIU,0,1)</f>
        <v>635.32000000000005</v>
      </c>
      <c r="H121" cm="1">
        <f t="array" ref="H121">SALESTABLE[[#This Row],[Quantity]]*_xlfn.XLOOKUP(SALESTABLE[[#This Row],[Product_ID]],ProductsTable[Product_ID],ProductsTable[Cost_Price],WAASIU,0,1)</f>
        <v>507.76</v>
      </c>
      <c r="I121">
        <f>SALESTABLE[[#This Row],[Revenue]]-SALESTABLE[[#This Row],[COST]]</f>
        <v>127.56000000000006</v>
      </c>
      <c r="J121">
        <f>SALESTABLE[[#This Row],[PROFIT]]/SALESTABLE[[#This Row],[Revenue]]*100</f>
        <v>20.078070893408054</v>
      </c>
    </row>
    <row r="122" spans="1:10" x14ac:dyDescent="0.35">
      <c r="A122" t="s">
        <v>226</v>
      </c>
      <c r="B122" s="4">
        <v>45072</v>
      </c>
      <c r="C122" t="s">
        <v>67</v>
      </c>
      <c r="D122" t="s">
        <v>97</v>
      </c>
      <c r="E122">
        <v>17</v>
      </c>
      <c r="F122">
        <v>15</v>
      </c>
      <c r="G122" cm="1">
        <f t="array" ref="G122">SALESTABLE[[#This Row],[Quantity]]*_xlfn.XLOOKUP(SALESTABLE[[#This Row],[Product_ID]],ProductsTable[Product_ID],ProductsTable[Unit_Price],WAASIU,0,1)</f>
        <v>5273.57</v>
      </c>
      <c r="H122" cm="1">
        <f t="array" ref="H122">SALESTABLE[[#This Row],[Quantity]]*_xlfn.XLOOKUP(SALESTABLE[[#This Row],[Product_ID]],ProductsTable[Product_ID],ProductsTable[Cost_Price],WAASIU,0,1)</f>
        <v>3829.93</v>
      </c>
      <c r="I122">
        <f>SALESTABLE[[#This Row],[Revenue]]-SALESTABLE[[#This Row],[COST]]</f>
        <v>1443.6399999999999</v>
      </c>
      <c r="J122">
        <f>SALESTABLE[[#This Row],[PROFIT]]/SALESTABLE[[#This Row],[Revenue]]*100</f>
        <v>27.375004029528384</v>
      </c>
    </row>
    <row r="123" spans="1:10" x14ac:dyDescent="0.35">
      <c r="A123" t="s">
        <v>227</v>
      </c>
      <c r="B123" s="4">
        <v>45553</v>
      </c>
      <c r="C123" t="s">
        <v>122</v>
      </c>
      <c r="D123" t="s">
        <v>77</v>
      </c>
      <c r="E123">
        <v>5</v>
      </c>
      <c r="F123">
        <v>15</v>
      </c>
      <c r="G123" cm="1">
        <f t="array" ref="G123">SALESTABLE[[#This Row],[Quantity]]*_xlfn.XLOOKUP(SALESTABLE[[#This Row],[Product_ID]],ProductsTable[Product_ID],ProductsTable[Unit_Price],WAASIU,0,1)</f>
        <v>459</v>
      </c>
      <c r="H123" cm="1">
        <f t="array" ref="H123">SALESTABLE[[#This Row],[Quantity]]*_xlfn.XLOOKUP(SALESTABLE[[#This Row],[Product_ID]],ProductsTable[Product_ID],ProductsTable[Cost_Price],WAASIU,0,1)</f>
        <v>244.85</v>
      </c>
      <c r="I123">
        <f>SALESTABLE[[#This Row],[Revenue]]-SALESTABLE[[#This Row],[COST]]</f>
        <v>214.15</v>
      </c>
      <c r="J123">
        <f>SALESTABLE[[#This Row],[PROFIT]]/SALESTABLE[[#This Row],[Revenue]]*100</f>
        <v>46.655773420479299</v>
      </c>
    </row>
    <row r="124" spans="1:10" x14ac:dyDescent="0.35">
      <c r="A124" t="s">
        <v>228</v>
      </c>
      <c r="B124" s="4">
        <v>44936</v>
      </c>
      <c r="C124" t="s">
        <v>229</v>
      </c>
      <c r="D124" t="s">
        <v>139</v>
      </c>
      <c r="E124">
        <v>3</v>
      </c>
      <c r="F124">
        <v>20</v>
      </c>
      <c r="G124" cm="1">
        <f t="array" ref="G124">SALESTABLE[[#This Row],[Quantity]]*_xlfn.XLOOKUP(SALESTABLE[[#This Row],[Product_ID]],ProductsTable[Product_ID],ProductsTable[Unit_Price],WAASIU,0,1)</f>
        <v>1371.33</v>
      </c>
      <c r="H124" cm="1">
        <f t="array" ref="H124">SALESTABLE[[#This Row],[Quantity]]*_xlfn.XLOOKUP(SALESTABLE[[#This Row],[Product_ID]],ProductsTable[Product_ID],ProductsTable[Cost_Price],WAASIU,0,1)</f>
        <v>982.56</v>
      </c>
      <c r="I124">
        <f>SALESTABLE[[#This Row],[Revenue]]-SALESTABLE[[#This Row],[COST]]</f>
        <v>388.77</v>
      </c>
      <c r="J124">
        <f>SALESTABLE[[#This Row],[PROFIT]]/SALESTABLE[[#This Row],[Revenue]]*100</f>
        <v>28.349850145479206</v>
      </c>
    </row>
    <row r="125" spans="1:10" x14ac:dyDescent="0.35">
      <c r="A125" t="s">
        <v>230</v>
      </c>
      <c r="B125" s="4">
        <v>45009</v>
      </c>
      <c r="C125" t="s">
        <v>81</v>
      </c>
      <c r="D125" t="s">
        <v>11</v>
      </c>
      <c r="E125">
        <v>5</v>
      </c>
      <c r="F125">
        <v>5</v>
      </c>
      <c r="G125" cm="1">
        <f t="array" ref="G125">SALESTABLE[[#This Row],[Quantity]]*_xlfn.XLOOKUP(SALESTABLE[[#This Row],[Product_ID]],ProductsTable[Product_ID],ProductsTable[Unit_Price],WAASIU,0,1)</f>
        <v>2386.35</v>
      </c>
      <c r="H125" cm="1">
        <f t="array" ref="H125">SALESTABLE[[#This Row],[Quantity]]*_xlfn.XLOOKUP(SALESTABLE[[#This Row],[Product_ID]],ProductsTable[Product_ID],ProductsTable[Cost_Price],WAASIU,0,1)</f>
        <v>1494.1999999999998</v>
      </c>
      <c r="I125">
        <f>SALESTABLE[[#This Row],[Revenue]]-SALESTABLE[[#This Row],[COST]]</f>
        <v>892.15000000000009</v>
      </c>
      <c r="J125">
        <f>SALESTABLE[[#This Row],[PROFIT]]/SALESTABLE[[#This Row],[Revenue]]*100</f>
        <v>37.385546965030279</v>
      </c>
    </row>
    <row r="126" spans="1:10" x14ac:dyDescent="0.35">
      <c r="A126" t="s">
        <v>231</v>
      </c>
      <c r="B126" s="4">
        <v>45642</v>
      </c>
      <c r="C126" t="s">
        <v>10</v>
      </c>
      <c r="D126" t="s">
        <v>84</v>
      </c>
      <c r="E126">
        <v>13</v>
      </c>
      <c r="F126">
        <v>10</v>
      </c>
      <c r="G126" cm="1">
        <f t="array" ref="G126">SALESTABLE[[#This Row],[Quantity]]*_xlfn.XLOOKUP(SALESTABLE[[#This Row],[Product_ID]],ProductsTable[Product_ID],ProductsTable[Unit_Price],WAASIU,0,1)</f>
        <v>3495.7</v>
      </c>
      <c r="H126" cm="1">
        <f t="array" ref="H126">SALESTABLE[[#This Row],[Quantity]]*_xlfn.XLOOKUP(SALESTABLE[[#This Row],[Product_ID]],ProductsTable[Product_ID],ProductsTable[Cost_Price],WAASIU,0,1)</f>
        <v>2026.1800000000003</v>
      </c>
      <c r="I126">
        <f>SALESTABLE[[#This Row],[Revenue]]-SALESTABLE[[#This Row],[COST]]</f>
        <v>1469.5199999999995</v>
      </c>
      <c r="J126">
        <f>SALESTABLE[[#This Row],[PROFIT]]/SALESTABLE[[#This Row],[Revenue]]*100</f>
        <v>42.037932316846401</v>
      </c>
    </row>
    <row r="127" spans="1:10" x14ac:dyDescent="0.35">
      <c r="A127" t="s">
        <v>232</v>
      </c>
      <c r="B127" s="4">
        <v>45213</v>
      </c>
      <c r="C127" t="s">
        <v>184</v>
      </c>
      <c r="D127" t="s">
        <v>49</v>
      </c>
      <c r="E127">
        <v>19</v>
      </c>
      <c r="F127">
        <v>10</v>
      </c>
      <c r="G127" cm="1">
        <f t="array" ref="G127">SALESTABLE[[#This Row],[Quantity]]*_xlfn.XLOOKUP(SALESTABLE[[#This Row],[Product_ID]],ProductsTable[Product_ID],ProductsTable[Unit_Price],WAASIU,0,1)</f>
        <v>4362.97</v>
      </c>
      <c r="H127" cm="1">
        <f t="array" ref="H127">SALESTABLE[[#This Row],[Quantity]]*_xlfn.XLOOKUP(SALESTABLE[[#This Row],[Product_ID]],ProductsTable[Product_ID],ProductsTable[Cost_Price],WAASIU,0,1)</f>
        <v>2496.9799999999996</v>
      </c>
      <c r="I127">
        <f>SALESTABLE[[#This Row],[Revenue]]-SALESTABLE[[#This Row],[COST]]</f>
        <v>1865.9900000000007</v>
      </c>
      <c r="J127">
        <f>SALESTABLE[[#This Row],[PROFIT]]/SALESTABLE[[#This Row],[Revenue]]*100</f>
        <v>42.768801985803265</v>
      </c>
    </row>
    <row r="128" spans="1:10" x14ac:dyDescent="0.35">
      <c r="A128" t="s">
        <v>233</v>
      </c>
      <c r="B128" s="4">
        <v>44969</v>
      </c>
      <c r="C128" t="s">
        <v>179</v>
      </c>
      <c r="D128" t="s">
        <v>100</v>
      </c>
      <c r="E128">
        <v>7</v>
      </c>
      <c r="F128">
        <v>10</v>
      </c>
      <c r="G128" cm="1">
        <f t="array" ref="G128">SALESTABLE[[#This Row],[Quantity]]*_xlfn.XLOOKUP(SALESTABLE[[#This Row],[Product_ID]],ProductsTable[Product_ID],ProductsTable[Unit_Price],WAASIU,0,1)</f>
        <v>2865.24</v>
      </c>
      <c r="H128" cm="1">
        <f t="array" ref="H128">SALESTABLE[[#This Row],[Quantity]]*_xlfn.XLOOKUP(SALESTABLE[[#This Row],[Product_ID]],ProductsTable[Product_ID],ProductsTable[Cost_Price],WAASIU,0,1)</f>
        <v>1488.55</v>
      </c>
      <c r="I128">
        <f>SALESTABLE[[#This Row],[Revenue]]-SALESTABLE[[#This Row],[COST]]</f>
        <v>1376.6899999999998</v>
      </c>
      <c r="J128">
        <f>SALESTABLE[[#This Row],[PROFIT]]/SALESTABLE[[#This Row],[Revenue]]*100</f>
        <v>48.047982018958265</v>
      </c>
    </row>
    <row r="129" spans="1:10" x14ac:dyDescent="0.35">
      <c r="A129" t="s">
        <v>234</v>
      </c>
      <c r="B129" s="4">
        <v>45479</v>
      </c>
      <c r="C129" t="s">
        <v>129</v>
      </c>
      <c r="D129" t="s">
        <v>49</v>
      </c>
      <c r="E129">
        <v>16</v>
      </c>
      <c r="F129">
        <v>0</v>
      </c>
      <c r="G129" cm="1">
        <f t="array" ref="G129">SALESTABLE[[#This Row],[Quantity]]*_xlfn.XLOOKUP(SALESTABLE[[#This Row],[Product_ID]],ProductsTable[Product_ID],ProductsTable[Unit_Price],WAASIU,0,1)</f>
        <v>3674.08</v>
      </c>
      <c r="H129" cm="1">
        <f t="array" ref="H129">SALESTABLE[[#This Row],[Quantity]]*_xlfn.XLOOKUP(SALESTABLE[[#This Row],[Product_ID]],ProductsTable[Product_ID],ProductsTable[Cost_Price],WAASIU,0,1)</f>
        <v>2102.7199999999998</v>
      </c>
      <c r="I129">
        <f>SALESTABLE[[#This Row],[Revenue]]-SALESTABLE[[#This Row],[COST]]</f>
        <v>1571.3600000000001</v>
      </c>
      <c r="J129">
        <f>SALESTABLE[[#This Row],[PROFIT]]/SALESTABLE[[#This Row],[Revenue]]*100</f>
        <v>42.76880198580325</v>
      </c>
    </row>
    <row r="130" spans="1:10" x14ac:dyDescent="0.35">
      <c r="A130" t="s">
        <v>235</v>
      </c>
      <c r="B130" s="4">
        <v>45490</v>
      </c>
      <c r="C130" t="s">
        <v>79</v>
      </c>
      <c r="D130" t="s">
        <v>84</v>
      </c>
      <c r="E130">
        <v>5</v>
      </c>
      <c r="F130">
        <v>0</v>
      </c>
      <c r="G130" cm="1">
        <f t="array" ref="G130">SALESTABLE[[#This Row],[Quantity]]*_xlfn.XLOOKUP(SALESTABLE[[#This Row],[Product_ID]],ProductsTable[Product_ID],ProductsTable[Unit_Price],WAASIU,0,1)</f>
        <v>1344.5</v>
      </c>
      <c r="H130" cm="1">
        <f t="array" ref="H130">SALESTABLE[[#This Row],[Quantity]]*_xlfn.XLOOKUP(SALESTABLE[[#This Row],[Product_ID]],ProductsTable[Product_ID],ProductsTable[Cost_Price],WAASIU,0,1)</f>
        <v>779.30000000000007</v>
      </c>
      <c r="I130">
        <f>SALESTABLE[[#This Row],[Revenue]]-SALESTABLE[[#This Row],[COST]]</f>
        <v>565.19999999999993</v>
      </c>
      <c r="J130">
        <f>SALESTABLE[[#This Row],[PROFIT]]/SALESTABLE[[#This Row],[Revenue]]*100</f>
        <v>42.037932316846408</v>
      </c>
    </row>
    <row r="131" spans="1:10" x14ac:dyDescent="0.35">
      <c r="A131" t="s">
        <v>236</v>
      </c>
      <c r="B131" s="4">
        <v>45345</v>
      </c>
      <c r="C131" t="s">
        <v>237</v>
      </c>
      <c r="D131" t="s">
        <v>84</v>
      </c>
      <c r="E131">
        <v>18</v>
      </c>
      <c r="F131">
        <v>20</v>
      </c>
      <c r="G131" cm="1">
        <f t="array" ref="G131">SALESTABLE[[#This Row],[Quantity]]*_xlfn.XLOOKUP(SALESTABLE[[#This Row],[Product_ID]],ProductsTable[Product_ID],ProductsTable[Unit_Price],WAASIU,0,1)</f>
        <v>4840.2</v>
      </c>
      <c r="H131" cm="1">
        <f t="array" ref="H131">SALESTABLE[[#This Row],[Quantity]]*_xlfn.XLOOKUP(SALESTABLE[[#This Row],[Product_ID]],ProductsTable[Product_ID],ProductsTable[Cost_Price],WAASIU,0,1)</f>
        <v>2805.4800000000005</v>
      </c>
      <c r="I131">
        <f>SALESTABLE[[#This Row],[Revenue]]-SALESTABLE[[#This Row],[COST]]</f>
        <v>2034.7199999999993</v>
      </c>
      <c r="J131">
        <f>SALESTABLE[[#This Row],[PROFIT]]/SALESTABLE[[#This Row],[Revenue]]*100</f>
        <v>42.037932316846401</v>
      </c>
    </row>
    <row r="132" spans="1:10" x14ac:dyDescent="0.35">
      <c r="A132" t="s">
        <v>238</v>
      </c>
      <c r="B132" s="4">
        <v>45152</v>
      </c>
      <c r="C132" t="s">
        <v>69</v>
      </c>
      <c r="D132" t="s">
        <v>125</v>
      </c>
      <c r="E132">
        <v>6</v>
      </c>
      <c r="F132">
        <v>15</v>
      </c>
      <c r="G132" cm="1">
        <f t="array" ref="G132">SALESTABLE[[#This Row],[Quantity]]*_xlfn.XLOOKUP(SALESTABLE[[#This Row],[Product_ID]],ProductsTable[Product_ID],ProductsTable[Unit_Price],WAASIU,0,1)</f>
        <v>2008.1999999999998</v>
      </c>
      <c r="H132" cm="1">
        <f t="array" ref="H132">SALESTABLE[[#This Row],[Quantity]]*_xlfn.XLOOKUP(SALESTABLE[[#This Row],[Product_ID]],ProductsTable[Product_ID],ProductsTable[Cost_Price],WAASIU,0,1)</f>
        <v>1497.1200000000001</v>
      </c>
      <c r="I132">
        <f>SALESTABLE[[#This Row],[Revenue]]-SALESTABLE[[#This Row],[COST]]</f>
        <v>511.0799999999997</v>
      </c>
      <c r="J132">
        <f>SALESTABLE[[#This Row],[PROFIT]]/SALESTABLE[[#This Row],[Revenue]]*100</f>
        <v>25.44965640872422</v>
      </c>
    </row>
    <row r="133" spans="1:10" x14ac:dyDescent="0.35">
      <c r="A133" t="s">
        <v>239</v>
      </c>
      <c r="B133" s="4">
        <v>45137</v>
      </c>
      <c r="C133" t="s">
        <v>69</v>
      </c>
      <c r="D133" t="s">
        <v>137</v>
      </c>
      <c r="E133">
        <v>3</v>
      </c>
      <c r="F133">
        <v>0</v>
      </c>
      <c r="G133" cm="1">
        <f t="array" ref="G133">SALESTABLE[[#This Row],[Quantity]]*_xlfn.XLOOKUP(SALESTABLE[[#This Row],[Product_ID]],ProductsTable[Product_ID],ProductsTable[Unit_Price],WAASIU,0,1)</f>
        <v>1090.32</v>
      </c>
      <c r="H133" cm="1">
        <f t="array" ref="H133">SALESTABLE[[#This Row],[Quantity]]*_xlfn.XLOOKUP(SALESTABLE[[#This Row],[Product_ID]],ProductsTable[Product_ID],ProductsTable[Cost_Price],WAASIU,0,1)</f>
        <v>750.15000000000009</v>
      </c>
      <c r="I133">
        <f>SALESTABLE[[#This Row],[Revenue]]-SALESTABLE[[#This Row],[COST]]</f>
        <v>340.16999999999985</v>
      </c>
      <c r="J133">
        <f>SALESTABLE[[#This Row],[PROFIT]]/SALESTABLE[[#This Row],[Revenue]]*100</f>
        <v>31.19909751265682</v>
      </c>
    </row>
    <row r="134" spans="1:10" x14ac:dyDescent="0.35">
      <c r="A134" t="s">
        <v>240</v>
      </c>
      <c r="B134" s="4">
        <v>45652</v>
      </c>
      <c r="C134" t="s">
        <v>18</v>
      </c>
      <c r="D134" t="s">
        <v>22</v>
      </c>
      <c r="E134">
        <v>16</v>
      </c>
      <c r="F134">
        <v>20</v>
      </c>
      <c r="G134" cm="1">
        <f t="array" ref="G134">SALESTABLE[[#This Row],[Quantity]]*_xlfn.XLOOKUP(SALESTABLE[[#This Row],[Product_ID]],ProductsTable[Product_ID],ProductsTable[Unit_Price],WAASIU,0,1)</f>
        <v>6714.72</v>
      </c>
      <c r="H134" cm="1">
        <f t="array" ref="H134">SALESTABLE[[#This Row],[Quantity]]*_xlfn.XLOOKUP(SALESTABLE[[#This Row],[Product_ID]],ProductsTable[Product_ID],ProductsTable[Cost_Price],WAASIU,0,1)</f>
        <v>3414.72</v>
      </c>
      <c r="I134">
        <f>SALESTABLE[[#This Row],[Revenue]]-SALESTABLE[[#This Row],[COST]]</f>
        <v>3300.0000000000005</v>
      </c>
      <c r="J134">
        <f>SALESTABLE[[#This Row],[PROFIT]]/SALESTABLE[[#This Row],[Revenue]]*100</f>
        <v>49.145757380799203</v>
      </c>
    </row>
    <row r="135" spans="1:10" x14ac:dyDescent="0.35">
      <c r="A135" t="s">
        <v>241</v>
      </c>
      <c r="B135" s="4">
        <v>45035</v>
      </c>
      <c r="C135" t="s">
        <v>86</v>
      </c>
      <c r="D135" t="s">
        <v>52</v>
      </c>
      <c r="E135">
        <v>5</v>
      </c>
      <c r="F135">
        <v>15</v>
      </c>
      <c r="G135" cm="1">
        <f t="array" ref="G135">SALESTABLE[[#This Row],[Quantity]]*_xlfn.XLOOKUP(SALESTABLE[[#This Row],[Product_ID]],ProductsTable[Product_ID],ProductsTable[Unit_Price],WAASIU,0,1)</f>
        <v>918.9</v>
      </c>
      <c r="H135" cm="1">
        <f t="array" ref="H135">SALESTABLE[[#This Row],[Quantity]]*_xlfn.XLOOKUP(SALESTABLE[[#This Row],[Product_ID]],ProductsTable[Product_ID],ProductsTable[Cost_Price],WAASIU,0,1)</f>
        <v>578.15</v>
      </c>
      <c r="I135">
        <f>SALESTABLE[[#This Row],[Revenue]]-SALESTABLE[[#This Row],[COST]]</f>
        <v>340.75</v>
      </c>
      <c r="J135">
        <f>SALESTABLE[[#This Row],[PROFIT]]/SALESTABLE[[#This Row],[Revenue]]*100</f>
        <v>37.082381107846338</v>
      </c>
    </row>
    <row r="136" spans="1:10" x14ac:dyDescent="0.35">
      <c r="A136" t="s">
        <v>242</v>
      </c>
      <c r="B136" s="4">
        <v>45374</v>
      </c>
      <c r="C136" t="s">
        <v>171</v>
      </c>
      <c r="D136" t="s">
        <v>22</v>
      </c>
      <c r="E136">
        <v>17</v>
      </c>
      <c r="F136">
        <v>15</v>
      </c>
      <c r="G136" cm="1">
        <f t="array" ref="G136">SALESTABLE[[#This Row],[Quantity]]*_xlfn.XLOOKUP(SALESTABLE[[#This Row],[Product_ID]],ProductsTable[Product_ID],ProductsTable[Unit_Price],WAASIU,0,1)</f>
        <v>7134.39</v>
      </c>
      <c r="H136" cm="1">
        <f t="array" ref="H136">SALESTABLE[[#This Row],[Quantity]]*_xlfn.XLOOKUP(SALESTABLE[[#This Row],[Product_ID]],ProductsTable[Product_ID],ProductsTable[Cost_Price],WAASIU,0,1)</f>
        <v>3628.14</v>
      </c>
      <c r="I136">
        <f>SALESTABLE[[#This Row],[Revenue]]-SALESTABLE[[#This Row],[COST]]</f>
        <v>3506.2500000000005</v>
      </c>
      <c r="J136">
        <f>SALESTABLE[[#This Row],[PROFIT]]/SALESTABLE[[#This Row],[Revenue]]*100</f>
        <v>49.145757380799203</v>
      </c>
    </row>
    <row r="137" spans="1:10" x14ac:dyDescent="0.35">
      <c r="A137" t="s">
        <v>243</v>
      </c>
      <c r="B137" s="4">
        <v>45421</v>
      </c>
      <c r="C137" t="s">
        <v>106</v>
      </c>
      <c r="D137" t="s">
        <v>100</v>
      </c>
      <c r="E137">
        <v>1</v>
      </c>
      <c r="F137">
        <v>10</v>
      </c>
      <c r="G137" cm="1">
        <f t="array" ref="G137">SALESTABLE[[#This Row],[Quantity]]*_xlfn.XLOOKUP(SALESTABLE[[#This Row],[Product_ID]],ProductsTable[Product_ID],ProductsTable[Unit_Price],WAASIU,0,1)</f>
        <v>409.32</v>
      </c>
      <c r="H137" cm="1">
        <f t="array" ref="H137">SALESTABLE[[#This Row],[Quantity]]*_xlfn.XLOOKUP(SALESTABLE[[#This Row],[Product_ID]],ProductsTable[Product_ID],ProductsTable[Cost_Price],WAASIU,0,1)</f>
        <v>212.65</v>
      </c>
      <c r="I137">
        <f>SALESTABLE[[#This Row],[Revenue]]-SALESTABLE[[#This Row],[COST]]</f>
        <v>196.67</v>
      </c>
      <c r="J137">
        <f>SALESTABLE[[#This Row],[PROFIT]]/SALESTABLE[[#This Row],[Revenue]]*100</f>
        <v>48.047982018958265</v>
      </c>
    </row>
    <row r="138" spans="1:10" x14ac:dyDescent="0.35">
      <c r="A138" t="s">
        <v>244</v>
      </c>
      <c r="B138" s="4">
        <v>45519</v>
      </c>
      <c r="C138" t="s">
        <v>245</v>
      </c>
      <c r="D138" t="s">
        <v>34</v>
      </c>
      <c r="E138">
        <v>3</v>
      </c>
      <c r="F138">
        <v>5</v>
      </c>
      <c r="G138" cm="1">
        <f t="array" ref="G138">SALESTABLE[[#This Row],[Quantity]]*_xlfn.XLOOKUP(SALESTABLE[[#This Row],[Product_ID]],ProductsTable[Product_ID],ProductsTable[Unit_Price],WAASIU,0,1)</f>
        <v>986.25</v>
      </c>
      <c r="H138" cm="1">
        <f t="array" ref="H138">SALESTABLE[[#This Row],[Quantity]]*_xlfn.XLOOKUP(SALESTABLE[[#This Row],[Product_ID]],ProductsTable[Product_ID],ProductsTable[Cost_Price],WAASIU,0,1)</f>
        <v>699.54</v>
      </c>
      <c r="I138">
        <f>SALESTABLE[[#This Row],[Revenue]]-SALESTABLE[[#This Row],[COST]]</f>
        <v>286.71000000000004</v>
      </c>
      <c r="J138">
        <f>SALESTABLE[[#This Row],[PROFIT]]/SALESTABLE[[#This Row],[Revenue]]*100</f>
        <v>29.070722433460077</v>
      </c>
    </row>
    <row r="139" spans="1:10" x14ac:dyDescent="0.35">
      <c r="A139" t="s">
        <v>246</v>
      </c>
      <c r="B139" s="4">
        <v>45596</v>
      </c>
      <c r="C139" t="s">
        <v>247</v>
      </c>
      <c r="D139" t="s">
        <v>248</v>
      </c>
      <c r="E139">
        <v>8</v>
      </c>
      <c r="F139">
        <v>15</v>
      </c>
      <c r="G139" cm="1">
        <f t="array" ref="G139">SALESTABLE[[#This Row],[Quantity]]*_xlfn.XLOOKUP(SALESTABLE[[#This Row],[Product_ID]],ProductsTable[Product_ID],ProductsTable[Unit_Price],WAASIU,0,1)</f>
        <v>1493.68</v>
      </c>
      <c r="H139" cm="1">
        <f t="array" ref="H139">SALESTABLE[[#This Row],[Quantity]]*_xlfn.XLOOKUP(SALESTABLE[[#This Row],[Product_ID]],ProductsTable[Product_ID],ProductsTable[Cost_Price],WAASIU,0,1)</f>
        <v>1001.52</v>
      </c>
      <c r="I139">
        <f>SALESTABLE[[#This Row],[Revenue]]-SALESTABLE[[#This Row],[COST]]</f>
        <v>492.16000000000008</v>
      </c>
      <c r="J139">
        <f>SALESTABLE[[#This Row],[PROFIT]]/SALESTABLE[[#This Row],[Revenue]]*100</f>
        <v>32.94949386749505</v>
      </c>
    </row>
    <row r="140" spans="1:10" x14ac:dyDescent="0.35">
      <c r="A140" t="s">
        <v>249</v>
      </c>
      <c r="B140" s="4">
        <v>45488</v>
      </c>
      <c r="C140" t="s">
        <v>177</v>
      </c>
      <c r="D140" t="s">
        <v>100</v>
      </c>
      <c r="E140">
        <v>1</v>
      </c>
      <c r="F140">
        <v>20</v>
      </c>
      <c r="G140" cm="1">
        <f t="array" ref="G140">SALESTABLE[[#This Row],[Quantity]]*_xlfn.XLOOKUP(SALESTABLE[[#This Row],[Product_ID]],ProductsTable[Product_ID],ProductsTable[Unit_Price],WAASIU,0,1)</f>
        <v>409.32</v>
      </c>
      <c r="H140" cm="1">
        <f t="array" ref="H140">SALESTABLE[[#This Row],[Quantity]]*_xlfn.XLOOKUP(SALESTABLE[[#This Row],[Product_ID]],ProductsTable[Product_ID],ProductsTable[Cost_Price],WAASIU,0,1)</f>
        <v>212.65</v>
      </c>
      <c r="I140">
        <f>SALESTABLE[[#This Row],[Revenue]]-SALESTABLE[[#This Row],[COST]]</f>
        <v>196.67</v>
      </c>
      <c r="J140">
        <f>SALESTABLE[[#This Row],[PROFIT]]/SALESTABLE[[#This Row],[Revenue]]*100</f>
        <v>48.047982018958265</v>
      </c>
    </row>
    <row r="141" spans="1:10" x14ac:dyDescent="0.35">
      <c r="A141" t="s">
        <v>250</v>
      </c>
      <c r="B141" s="4">
        <v>44947</v>
      </c>
      <c r="C141" t="s">
        <v>251</v>
      </c>
      <c r="D141" t="s">
        <v>34</v>
      </c>
      <c r="E141">
        <v>19</v>
      </c>
      <c r="F141">
        <v>10</v>
      </c>
      <c r="G141" cm="1">
        <f t="array" ref="G141">SALESTABLE[[#This Row],[Quantity]]*_xlfn.XLOOKUP(SALESTABLE[[#This Row],[Product_ID]],ProductsTable[Product_ID],ProductsTable[Unit_Price],WAASIU,0,1)</f>
        <v>6246.25</v>
      </c>
      <c r="H141" cm="1">
        <f t="array" ref="H141">SALESTABLE[[#This Row],[Quantity]]*_xlfn.XLOOKUP(SALESTABLE[[#This Row],[Product_ID]],ProductsTable[Product_ID],ProductsTable[Cost_Price],WAASIU,0,1)</f>
        <v>4430.42</v>
      </c>
      <c r="I141">
        <f>SALESTABLE[[#This Row],[Revenue]]-SALESTABLE[[#This Row],[COST]]</f>
        <v>1815.83</v>
      </c>
      <c r="J141">
        <f>SALESTABLE[[#This Row],[PROFIT]]/SALESTABLE[[#This Row],[Revenue]]*100</f>
        <v>29.070722433460073</v>
      </c>
    </row>
    <row r="142" spans="1:10" x14ac:dyDescent="0.35">
      <c r="A142" t="s">
        <v>252</v>
      </c>
      <c r="B142" s="4">
        <v>45056</v>
      </c>
      <c r="C142" t="s">
        <v>165</v>
      </c>
      <c r="D142" t="s">
        <v>41</v>
      </c>
      <c r="E142">
        <v>13</v>
      </c>
      <c r="F142">
        <v>0</v>
      </c>
      <c r="G142" cm="1">
        <f t="array" ref="G142">SALESTABLE[[#This Row],[Quantity]]*_xlfn.XLOOKUP(SALESTABLE[[#This Row],[Product_ID]],ProductsTable[Product_ID],ProductsTable[Unit_Price],WAASIU,0,1)</f>
        <v>5534.75</v>
      </c>
      <c r="H142" cm="1">
        <f t="array" ref="H142">SALESTABLE[[#This Row],[Quantity]]*_xlfn.XLOOKUP(SALESTABLE[[#This Row],[Product_ID]],ProductsTable[Product_ID],ProductsTable[Cost_Price],WAASIU,0,1)</f>
        <v>3160.69</v>
      </c>
      <c r="I142">
        <f>SALESTABLE[[#This Row],[Revenue]]-SALESTABLE[[#This Row],[COST]]</f>
        <v>2374.06</v>
      </c>
      <c r="J142">
        <f>SALESTABLE[[#This Row],[PROFIT]]/SALESTABLE[[#This Row],[Revenue]]*100</f>
        <v>42.89371697005285</v>
      </c>
    </row>
    <row r="143" spans="1:10" x14ac:dyDescent="0.35">
      <c r="A143" t="s">
        <v>253</v>
      </c>
      <c r="B143" s="4">
        <v>45483</v>
      </c>
      <c r="C143" t="s">
        <v>88</v>
      </c>
      <c r="D143" t="s">
        <v>52</v>
      </c>
      <c r="E143">
        <v>6</v>
      </c>
      <c r="F143">
        <v>10</v>
      </c>
      <c r="G143" cm="1">
        <f t="array" ref="G143">SALESTABLE[[#This Row],[Quantity]]*_xlfn.XLOOKUP(SALESTABLE[[#This Row],[Product_ID]],ProductsTable[Product_ID],ProductsTable[Unit_Price],WAASIU,0,1)</f>
        <v>1102.68</v>
      </c>
      <c r="H143" cm="1">
        <f t="array" ref="H143">SALESTABLE[[#This Row],[Quantity]]*_xlfn.XLOOKUP(SALESTABLE[[#This Row],[Product_ID]],ProductsTable[Product_ID],ProductsTable[Cost_Price],WAASIU,0,1)</f>
        <v>693.78</v>
      </c>
      <c r="I143">
        <f>SALESTABLE[[#This Row],[Revenue]]-SALESTABLE[[#This Row],[COST]]</f>
        <v>408.90000000000009</v>
      </c>
      <c r="J143">
        <f>SALESTABLE[[#This Row],[PROFIT]]/SALESTABLE[[#This Row],[Revenue]]*100</f>
        <v>37.082381107846345</v>
      </c>
    </row>
    <row r="144" spans="1:10" x14ac:dyDescent="0.35">
      <c r="A144" t="s">
        <v>254</v>
      </c>
      <c r="B144" s="4">
        <v>45623</v>
      </c>
      <c r="C144" t="s">
        <v>40</v>
      </c>
      <c r="D144" t="s">
        <v>113</v>
      </c>
      <c r="E144">
        <v>20</v>
      </c>
      <c r="F144">
        <v>0</v>
      </c>
      <c r="G144" cm="1">
        <f t="array" ref="G144">SALESTABLE[[#This Row],[Quantity]]*_xlfn.XLOOKUP(SALESTABLE[[#This Row],[Product_ID]],ProductsTable[Product_ID],ProductsTable[Unit_Price],WAASIU,0,1)</f>
        <v>6741.7999999999993</v>
      </c>
      <c r="H144" cm="1">
        <f t="array" ref="H144">SALESTABLE[[#This Row],[Quantity]]*_xlfn.XLOOKUP(SALESTABLE[[#This Row],[Product_ID]],ProductsTable[Product_ID],ProductsTable[Cost_Price],WAASIU,0,1)</f>
        <v>3728.2</v>
      </c>
      <c r="I144">
        <f>SALESTABLE[[#This Row],[Revenue]]-SALESTABLE[[#This Row],[COST]]</f>
        <v>3013.5999999999995</v>
      </c>
      <c r="J144">
        <f>SALESTABLE[[#This Row],[PROFIT]]/SALESTABLE[[#This Row],[Revenue]]*100</f>
        <v>44.700228425643004</v>
      </c>
    </row>
    <row r="145" spans="1:10" x14ac:dyDescent="0.35">
      <c r="A145" t="s">
        <v>255</v>
      </c>
      <c r="B145" s="4">
        <v>44966</v>
      </c>
      <c r="C145" t="s">
        <v>36</v>
      </c>
      <c r="D145" t="s">
        <v>57</v>
      </c>
      <c r="E145">
        <v>3</v>
      </c>
      <c r="F145">
        <v>5</v>
      </c>
      <c r="G145" cm="1">
        <f t="array" ref="G145">SALESTABLE[[#This Row],[Quantity]]*_xlfn.XLOOKUP(SALESTABLE[[#This Row],[Product_ID]],ProductsTable[Product_ID],ProductsTable[Unit_Price],WAASIU,0,1)</f>
        <v>476.49</v>
      </c>
      <c r="H145" cm="1">
        <f t="array" ref="H145">SALESTABLE[[#This Row],[Quantity]]*_xlfn.XLOOKUP(SALESTABLE[[#This Row],[Product_ID]],ProductsTable[Product_ID],ProductsTable[Cost_Price],WAASIU,0,1)</f>
        <v>380.82</v>
      </c>
      <c r="I145">
        <f>SALESTABLE[[#This Row],[Revenue]]-SALESTABLE[[#This Row],[COST]]</f>
        <v>95.670000000000016</v>
      </c>
      <c r="J145">
        <f>SALESTABLE[[#This Row],[PROFIT]]/SALESTABLE[[#This Row],[Revenue]]*100</f>
        <v>20.078070893408047</v>
      </c>
    </row>
    <row r="146" spans="1:10" x14ac:dyDescent="0.35">
      <c r="A146" t="s">
        <v>256</v>
      </c>
      <c r="B146" s="4">
        <v>45424</v>
      </c>
      <c r="C146" t="s">
        <v>257</v>
      </c>
      <c r="D146" t="s">
        <v>107</v>
      </c>
      <c r="E146">
        <v>19</v>
      </c>
      <c r="F146">
        <v>15</v>
      </c>
      <c r="G146" cm="1">
        <f t="array" ref="G146">SALESTABLE[[#This Row],[Quantity]]*_xlfn.XLOOKUP(SALESTABLE[[#This Row],[Product_ID]],ProductsTable[Product_ID],ProductsTable[Unit_Price],WAASIU,0,1)</f>
        <v>1235.19</v>
      </c>
      <c r="H146" cm="1">
        <f t="array" ref="H146">SALESTABLE[[#This Row],[Quantity]]*_xlfn.XLOOKUP(SALESTABLE[[#This Row],[Product_ID]],ProductsTable[Product_ID],ProductsTable[Cost_Price],WAASIU,0,1)</f>
        <v>699.77</v>
      </c>
      <c r="I146">
        <f>SALESTABLE[[#This Row],[Revenue]]-SALESTABLE[[#This Row],[COST]]</f>
        <v>535.42000000000007</v>
      </c>
      <c r="J146">
        <f>SALESTABLE[[#This Row],[PROFIT]]/SALESTABLE[[#This Row],[Revenue]]*100</f>
        <v>43.347177357329649</v>
      </c>
    </row>
    <row r="147" spans="1:10" x14ac:dyDescent="0.35">
      <c r="A147" t="s">
        <v>258</v>
      </c>
      <c r="B147" s="4">
        <v>45494</v>
      </c>
      <c r="C147" t="s">
        <v>129</v>
      </c>
      <c r="D147" t="s">
        <v>41</v>
      </c>
      <c r="E147">
        <v>16</v>
      </c>
      <c r="F147">
        <v>5</v>
      </c>
      <c r="G147" cm="1">
        <f t="array" ref="G147">SALESTABLE[[#This Row],[Quantity]]*_xlfn.XLOOKUP(SALESTABLE[[#This Row],[Product_ID]],ProductsTable[Product_ID],ProductsTable[Unit_Price],WAASIU,0,1)</f>
        <v>6812</v>
      </c>
      <c r="H147" cm="1">
        <f t="array" ref="H147">SALESTABLE[[#This Row],[Quantity]]*_xlfn.XLOOKUP(SALESTABLE[[#This Row],[Product_ID]],ProductsTable[Product_ID],ProductsTable[Cost_Price],WAASIU,0,1)</f>
        <v>3890.08</v>
      </c>
      <c r="I147">
        <f>SALESTABLE[[#This Row],[Revenue]]-SALESTABLE[[#This Row],[COST]]</f>
        <v>2921.92</v>
      </c>
      <c r="J147">
        <f>SALESTABLE[[#This Row],[PROFIT]]/SALESTABLE[[#This Row],[Revenue]]*100</f>
        <v>42.89371697005285</v>
      </c>
    </row>
    <row r="148" spans="1:10" x14ac:dyDescent="0.35">
      <c r="A148" t="s">
        <v>259</v>
      </c>
      <c r="B148" s="4">
        <v>44958</v>
      </c>
      <c r="C148" t="s">
        <v>48</v>
      </c>
      <c r="D148" t="s">
        <v>34</v>
      </c>
      <c r="E148">
        <v>13</v>
      </c>
      <c r="F148">
        <v>0</v>
      </c>
      <c r="G148" cm="1">
        <f t="array" ref="G148">SALESTABLE[[#This Row],[Quantity]]*_xlfn.XLOOKUP(SALESTABLE[[#This Row],[Product_ID]],ProductsTable[Product_ID],ProductsTable[Unit_Price],WAASIU,0,1)</f>
        <v>4273.75</v>
      </c>
      <c r="H148" cm="1">
        <f t="array" ref="H148">SALESTABLE[[#This Row],[Quantity]]*_xlfn.XLOOKUP(SALESTABLE[[#This Row],[Product_ID]],ProductsTable[Product_ID],ProductsTable[Cost_Price],WAASIU,0,1)</f>
        <v>3031.34</v>
      </c>
      <c r="I148">
        <f>SALESTABLE[[#This Row],[Revenue]]-SALESTABLE[[#This Row],[COST]]</f>
        <v>1242.4099999999999</v>
      </c>
      <c r="J148">
        <f>SALESTABLE[[#This Row],[PROFIT]]/SALESTABLE[[#This Row],[Revenue]]*100</f>
        <v>29.070722433460073</v>
      </c>
    </row>
    <row r="149" spans="1:10" x14ac:dyDescent="0.35">
      <c r="A149" t="s">
        <v>260</v>
      </c>
      <c r="B149" s="4">
        <v>45431</v>
      </c>
      <c r="C149" t="s">
        <v>48</v>
      </c>
      <c r="D149" t="s">
        <v>125</v>
      </c>
      <c r="E149">
        <v>1</v>
      </c>
      <c r="F149">
        <v>0</v>
      </c>
      <c r="G149" cm="1">
        <f t="array" ref="G149">SALESTABLE[[#This Row],[Quantity]]*_xlfn.XLOOKUP(SALESTABLE[[#This Row],[Product_ID]],ProductsTable[Product_ID],ProductsTable[Unit_Price],WAASIU,0,1)</f>
        <v>334.7</v>
      </c>
      <c r="H149" cm="1">
        <f t="array" ref="H149">SALESTABLE[[#This Row],[Quantity]]*_xlfn.XLOOKUP(SALESTABLE[[#This Row],[Product_ID]],ProductsTable[Product_ID],ProductsTable[Cost_Price],WAASIU,0,1)</f>
        <v>249.52</v>
      </c>
      <c r="I149">
        <f>SALESTABLE[[#This Row],[Revenue]]-SALESTABLE[[#This Row],[COST]]</f>
        <v>85.179999999999978</v>
      </c>
      <c r="J149">
        <f>SALESTABLE[[#This Row],[PROFIT]]/SALESTABLE[[#This Row],[Revenue]]*100</f>
        <v>25.449656408724223</v>
      </c>
    </row>
    <row r="150" spans="1:10" x14ac:dyDescent="0.35">
      <c r="A150" t="s">
        <v>261</v>
      </c>
      <c r="B150" s="4">
        <v>45066</v>
      </c>
      <c r="C150" t="s">
        <v>177</v>
      </c>
      <c r="D150" t="s">
        <v>139</v>
      </c>
      <c r="E150">
        <v>2</v>
      </c>
      <c r="F150">
        <v>0</v>
      </c>
      <c r="G150" cm="1">
        <f t="array" ref="G150">SALESTABLE[[#This Row],[Quantity]]*_xlfn.XLOOKUP(SALESTABLE[[#This Row],[Product_ID]],ProductsTable[Product_ID],ProductsTable[Unit_Price],WAASIU,0,1)</f>
        <v>914.22</v>
      </c>
      <c r="H150" cm="1">
        <f t="array" ref="H150">SALESTABLE[[#This Row],[Quantity]]*_xlfn.XLOOKUP(SALESTABLE[[#This Row],[Product_ID]],ProductsTable[Product_ID],ProductsTable[Cost_Price],WAASIU,0,1)</f>
        <v>655.04</v>
      </c>
      <c r="I150">
        <f>SALESTABLE[[#This Row],[Revenue]]-SALESTABLE[[#This Row],[COST]]</f>
        <v>259.18000000000006</v>
      </c>
      <c r="J150">
        <f>SALESTABLE[[#This Row],[PROFIT]]/SALESTABLE[[#This Row],[Revenue]]*100</f>
        <v>28.349850145479209</v>
      </c>
    </row>
    <row r="151" spans="1:10" x14ac:dyDescent="0.35">
      <c r="A151" t="s">
        <v>262</v>
      </c>
      <c r="B151" s="4">
        <v>45578</v>
      </c>
      <c r="C151" t="s">
        <v>142</v>
      </c>
      <c r="D151" t="s">
        <v>28</v>
      </c>
      <c r="E151">
        <v>11</v>
      </c>
      <c r="F151">
        <v>5</v>
      </c>
      <c r="G151" cm="1">
        <f t="array" ref="G151">SALESTABLE[[#This Row],[Quantity]]*_xlfn.XLOOKUP(SALESTABLE[[#This Row],[Product_ID]],ProductsTable[Product_ID],ProductsTable[Unit_Price],WAASIU,0,1)</f>
        <v>4680.2800000000007</v>
      </c>
      <c r="H151" cm="1">
        <f t="array" ref="H151">SALESTABLE[[#This Row],[Quantity]]*_xlfn.XLOOKUP(SALESTABLE[[#This Row],[Product_ID]],ProductsTable[Product_ID],ProductsTable[Cost_Price],WAASIU,0,1)</f>
        <v>2568.2799999999997</v>
      </c>
      <c r="I151">
        <f>SALESTABLE[[#This Row],[Revenue]]-SALESTABLE[[#This Row],[COST]]</f>
        <v>2112.0000000000009</v>
      </c>
      <c r="J151">
        <f>SALESTABLE[[#This Row],[PROFIT]]/SALESTABLE[[#This Row],[Revenue]]*100</f>
        <v>45.125505311648034</v>
      </c>
    </row>
    <row r="152" spans="1:10" x14ac:dyDescent="0.35">
      <c r="A152" t="s">
        <v>263</v>
      </c>
      <c r="B152" s="4">
        <v>44974</v>
      </c>
      <c r="C152" t="s">
        <v>118</v>
      </c>
      <c r="D152" t="s">
        <v>84</v>
      </c>
      <c r="E152">
        <v>15</v>
      </c>
      <c r="F152">
        <v>15</v>
      </c>
      <c r="G152" cm="1">
        <f t="array" ref="G152">SALESTABLE[[#This Row],[Quantity]]*_xlfn.XLOOKUP(SALESTABLE[[#This Row],[Product_ID]],ProductsTable[Product_ID],ProductsTable[Unit_Price],WAASIU,0,1)</f>
        <v>4033.4999999999995</v>
      </c>
      <c r="H152" cm="1">
        <f t="array" ref="H152">SALESTABLE[[#This Row],[Quantity]]*_xlfn.XLOOKUP(SALESTABLE[[#This Row],[Product_ID]],ProductsTable[Product_ID],ProductsTable[Cost_Price],WAASIU,0,1)</f>
        <v>2337.9</v>
      </c>
      <c r="I152">
        <f>SALESTABLE[[#This Row],[Revenue]]-SALESTABLE[[#This Row],[COST]]</f>
        <v>1695.5999999999995</v>
      </c>
      <c r="J152">
        <f>SALESTABLE[[#This Row],[PROFIT]]/SALESTABLE[[#This Row],[Revenue]]*100</f>
        <v>42.037932316846408</v>
      </c>
    </row>
    <row r="153" spans="1:10" x14ac:dyDescent="0.35">
      <c r="A153" t="s">
        <v>264</v>
      </c>
      <c r="B153" s="4">
        <v>45233</v>
      </c>
      <c r="C153" t="s">
        <v>265</v>
      </c>
      <c r="D153" t="s">
        <v>11</v>
      </c>
      <c r="E153">
        <v>9</v>
      </c>
      <c r="F153">
        <v>0</v>
      </c>
      <c r="G153" cm="1">
        <f t="array" ref="G153">SALESTABLE[[#This Row],[Quantity]]*_xlfn.XLOOKUP(SALESTABLE[[#This Row],[Product_ID]],ProductsTable[Product_ID],ProductsTable[Unit_Price],WAASIU,0,1)</f>
        <v>4295.43</v>
      </c>
      <c r="H153" cm="1">
        <f t="array" ref="H153">SALESTABLE[[#This Row],[Quantity]]*_xlfn.XLOOKUP(SALESTABLE[[#This Row],[Product_ID]],ProductsTable[Product_ID],ProductsTable[Cost_Price],WAASIU,0,1)</f>
        <v>2689.56</v>
      </c>
      <c r="I153">
        <f>SALESTABLE[[#This Row],[Revenue]]-SALESTABLE[[#This Row],[COST]]</f>
        <v>1605.8700000000003</v>
      </c>
      <c r="J153">
        <f>SALESTABLE[[#This Row],[PROFIT]]/SALESTABLE[[#This Row],[Revenue]]*100</f>
        <v>37.385546965030279</v>
      </c>
    </row>
    <row r="154" spans="1:10" x14ac:dyDescent="0.35">
      <c r="A154" t="s">
        <v>266</v>
      </c>
      <c r="B154" s="4">
        <v>45453</v>
      </c>
      <c r="C154" t="s">
        <v>144</v>
      </c>
      <c r="D154" t="s">
        <v>113</v>
      </c>
      <c r="E154">
        <v>8</v>
      </c>
      <c r="F154">
        <v>10</v>
      </c>
      <c r="G154" cm="1">
        <f t="array" ref="G154">SALESTABLE[[#This Row],[Quantity]]*_xlfn.XLOOKUP(SALESTABLE[[#This Row],[Product_ID]],ProductsTable[Product_ID],ProductsTable[Unit_Price],WAASIU,0,1)</f>
        <v>2696.72</v>
      </c>
      <c r="H154" cm="1">
        <f t="array" ref="H154">SALESTABLE[[#This Row],[Quantity]]*_xlfn.XLOOKUP(SALESTABLE[[#This Row],[Product_ID]],ProductsTable[Product_ID],ProductsTable[Cost_Price],WAASIU,0,1)</f>
        <v>1491.28</v>
      </c>
      <c r="I154">
        <f>SALESTABLE[[#This Row],[Revenue]]-SALESTABLE[[#This Row],[COST]]</f>
        <v>1205.4399999999998</v>
      </c>
      <c r="J154">
        <f>SALESTABLE[[#This Row],[PROFIT]]/SALESTABLE[[#This Row],[Revenue]]*100</f>
        <v>44.700228425643004</v>
      </c>
    </row>
    <row r="155" spans="1:10" x14ac:dyDescent="0.35">
      <c r="A155" t="s">
        <v>267</v>
      </c>
      <c r="B155" s="4">
        <v>45416</v>
      </c>
      <c r="C155" t="s">
        <v>169</v>
      </c>
      <c r="D155" t="s">
        <v>97</v>
      </c>
      <c r="E155">
        <v>20</v>
      </c>
      <c r="F155">
        <v>0</v>
      </c>
      <c r="G155" cm="1">
        <f t="array" ref="G155">SALESTABLE[[#This Row],[Quantity]]*_xlfn.XLOOKUP(SALESTABLE[[#This Row],[Product_ID]],ProductsTable[Product_ID],ProductsTable[Unit_Price],WAASIU,0,1)</f>
        <v>6204.2</v>
      </c>
      <c r="H155" cm="1">
        <f t="array" ref="H155">SALESTABLE[[#This Row],[Quantity]]*_xlfn.XLOOKUP(SALESTABLE[[#This Row],[Product_ID]],ProductsTable[Product_ID],ProductsTable[Cost_Price],WAASIU,0,1)</f>
        <v>4505.8</v>
      </c>
      <c r="I155">
        <f>SALESTABLE[[#This Row],[Revenue]]-SALESTABLE[[#This Row],[COST]]</f>
        <v>1698.3999999999996</v>
      </c>
      <c r="J155">
        <f>SALESTABLE[[#This Row],[PROFIT]]/SALESTABLE[[#This Row],[Revenue]]*100</f>
        <v>27.375004029528377</v>
      </c>
    </row>
    <row r="156" spans="1:10" x14ac:dyDescent="0.35">
      <c r="A156" t="s">
        <v>268</v>
      </c>
      <c r="B156" s="4">
        <v>45552</v>
      </c>
      <c r="C156" t="s">
        <v>167</v>
      </c>
      <c r="D156" t="s">
        <v>49</v>
      </c>
      <c r="E156">
        <v>8</v>
      </c>
      <c r="F156">
        <v>10</v>
      </c>
      <c r="G156" cm="1">
        <f t="array" ref="G156">SALESTABLE[[#This Row],[Quantity]]*_xlfn.XLOOKUP(SALESTABLE[[#This Row],[Product_ID]],ProductsTable[Product_ID],ProductsTable[Unit_Price],WAASIU,0,1)</f>
        <v>1837.04</v>
      </c>
      <c r="H156" cm="1">
        <f t="array" ref="H156">SALESTABLE[[#This Row],[Quantity]]*_xlfn.XLOOKUP(SALESTABLE[[#This Row],[Product_ID]],ProductsTable[Product_ID],ProductsTable[Cost_Price],WAASIU,0,1)</f>
        <v>1051.3599999999999</v>
      </c>
      <c r="I156">
        <f>SALESTABLE[[#This Row],[Revenue]]-SALESTABLE[[#This Row],[COST]]</f>
        <v>785.68000000000006</v>
      </c>
      <c r="J156">
        <f>SALESTABLE[[#This Row],[PROFIT]]/SALESTABLE[[#This Row],[Revenue]]*100</f>
        <v>42.76880198580325</v>
      </c>
    </row>
    <row r="157" spans="1:10" x14ac:dyDescent="0.35">
      <c r="A157" t="s">
        <v>269</v>
      </c>
      <c r="B157" s="4">
        <v>45040</v>
      </c>
      <c r="C157" t="s">
        <v>270</v>
      </c>
      <c r="D157" t="s">
        <v>139</v>
      </c>
      <c r="E157">
        <v>13</v>
      </c>
      <c r="F157">
        <v>0</v>
      </c>
      <c r="G157" cm="1">
        <f t="array" ref="G157">SALESTABLE[[#This Row],[Quantity]]*_xlfn.XLOOKUP(SALESTABLE[[#This Row],[Product_ID]],ProductsTable[Product_ID],ProductsTable[Unit_Price],WAASIU,0,1)</f>
        <v>5942.43</v>
      </c>
      <c r="H157" cm="1">
        <f t="array" ref="H157">SALESTABLE[[#This Row],[Quantity]]*_xlfn.XLOOKUP(SALESTABLE[[#This Row],[Product_ID]],ProductsTable[Product_ID],ProductsTable[Cost_Price],WAASIU,0,1)</f>
        <v>4257.76</v>
      </c>
      <c r="I157">
        <f>SALESTABLE[[#This Row],[Revenue]]-SALESTABLE[[#This Row],[COST]]</f>
        <v>1684.67</v>
      </c>
      <c r="J157">
        <f>SALESTABLE[[#This Row],[PROFIT]]/SALESTABLE[[#This Row],[Revenue]]*100</f>
        <v>28.349850145479206</v>
      </c>
    </row>
    <row r="158" spans="1:10" x14ac:dyDescent="0.35">
      <c r="A158" t="s">
        <v>271</v>
      </c>
      <c r="B158" s="4">
        <v>45623</v>
      </c>
      <c r="C158" t="s">
        <v>38</v>
      </c>
      <c r="D158" t="s">
        <v>77</v>
      </c>
      <c r="E158">
        <v>6</v>
      </c>
      <c r="F158">
        <v>5</v>
      </c>
      <c r="G158" cm="1">
        <f t="array" ref="G158">SALESTABLE[[#This Row],[Quantity]]*_xlfn.XLOOKUP(SALESTABLE[[#This Row],[Product_ID]],ProductsTable[Product_ID],ProductsTable[Unit_Price],WAASIU,0,1)</f>
        <v>550.79999999999995</v>
      </c>
      <c r="H158" cm="1">
        <f t="array" ref="H158">SALESTABLE[[#This Row],[Quantity]]*_xlfn.XLOOKUP(SALESTABLE[[#This Row],[Product_ID]],ProductsTable[Product_ID],ProductsTable[Cost_Price],WAASIU,0,1)</f>
        <v>293.82</v>
      </c>
      <c r="I158">
        <f>SALESTABLE[[#This Row],[Revenue]]-SALESTABLE[[#This Row],[COST]]</f>
        <v>256.97999999999996</v>
      </c>
      <c r="J158">
        <f>SALESTABLE[[#This Row],[PROFIT]]/SALESTABLE[[#This Row],[Revenue]]*100</f>
        <v>46.655773420479299</v>
      </c>
    </row>
    <row r="159" spans="1:10" x14ac:dyDescent="0.35">
      <c r="A159" t="s">
        <v>272</v>
      </c>
      <c r="B159" s="4">
        <v>45618</v>
      </c>
      <c r="C159" t="s">
        <v>88</v>
      </c>
      <c r="D159" t="s">
        <v>41</v>
      </c>
      <c r="E159">
        <v>18</v>
      </c>
      <c r="F159">
        <v>0</v>
      </c>
      <c r="G159" cm="1">
        <f t="array" ref="G159">SALESTABLE[[#This Row],[Quantity]]*_xlfn.XLOOKUP(SALESTABLE[[#This Row],[Product_ID]],ProductsTable[Product_ID],ProductsTable[Unit_Price],WAASIU,0,1)</f>
        <v>7663.5</v>
      </c>
      <c r="H159" cm="1">
        <f t="array" ref="H159">SALESTABLE[[#This Row],[Quantity]]*_xlfn.XLOOKUP(SALESTABLE[[#This Row],[Product_ID]],ProductsTable[Product_ID],ProductsTable[Cost_Price],WAASIU,0,1)</f>
        <v>4376.34</v>
      </c>
      <c r="I159">
        <f>SALESTABLE[[#This Row],[Revenue]]-SALESTABLE[[#This Row],[COST]]</f>
        <v>3287.16</v>
      </c>
      <c r="J159">
        <f>SALESTABLE[[#This Row],[PROFIT]]/SALESTABLE[[#This Row],[Revenue]]*100</f>
        <v>42.89371697005285</v>
      </c>
    </row>
    <row r="160" spans="1:10" x14ac:dyDescent="0.35">
      <c r="A160" t="s">
        <v>273</v>
      </c>
      <c r="B160" s="4">
        <v>45372</v>
      </c>
      <c r="C160" t="s">
        <v>274</v>
      </c>
      <c r="D160" t="s">
        <v>41</v>
      </c>
      <c r="E160">
        <v>11</v>
      </c>
      <c r="F160">
        <v>0</v>
      </c>
      <c r="G160" cm="1">
        <f t="array" ref="G160">SALESTABLE[[#This Row],[Quantity]]*_xlfn.XLOOKUP(SALESTABLE[[#This Row],[Product_ID]],ProductsTable[Product_ID],ProductsTable[Unit_Price],WAASIU,0,1)</f>
        <v>4683.25</v>
      </c>
      <c r="H160" cm="1">
        <f t="array" ref="H160">SALESTABLE[[#This Row],[Quantity]]*_xlfn.XLOOKUP(SALESTABLE[[#This Row],[Product_ID]],ProductsTable[Product_ID],ProductsTable[Cost_Price],WAASIU,0,1)</f>
        <v>2674.43</v>
      </c>
      <c r="I160">
        <f>SALESTABLE[[#This Row],[Revenue]]-SALESTABLE[[#This Row],[COST]]</f>
        <v>2008.8200000000002</v>
      </c>
      <c r="J160">
        <f>SALESTABLE[[#This Row],[PROFIT]]/SALESTABLE[[#This Row],[Revenue]]*100</f>
        <v>42.89371697005285</v>
      </c>
    </row>
    <row r="161" spans="1:10" x14ac:dyDescent="0.35">
      <c r="A161" t="s">
        <v>275</v>
      </c>
      <c r="B161" s="4">
        <v>45102</v>
      </c>
      <c r="C161" t="s">
        <v>179</v>
      </c>
      <c r="D161" t="s">
        <v>16</v>
      </c>
      <c r="E161">
        <v>5</v>
      </c>
      <c r="F161">
        <v>5</v>
      </c>
      <c r="G161" cm="1">
        <f t="array" ref="G161">SALESTABLE[[#This Row],[Quantity]]*_xlfn.XLOOKUP(SALESTABLE[[#This Row],[Product_ID]],ProductsTable[Product_ID],ProductsTable[Unit_Price],WAASIU,0,1)</f>
        <v>1810.8500000000001</v>
      </c>
      <c r="H161" cm="1">
        <f t="array" ref="H161">SALESTABLE[[#This Row],[Quantity]]*_xlfn.XLOOKUP(SALESTABLE[[#This Row],[Product_ID]],ProductsTable[Product_ID],ProductsTable[Cost_Price],WAASIU,0,1)</f>
        <v>1166.9000000000001</v>
      </c>
      <c r="I161">
        <f>SALESTABLE[[#This Row],[Revenue]]-SALESTABLE[[#This Row],[COST]]</f>
        <v>643.95000000000005</v>
      </c>
      <c r="J161">
        <f>SALESTABLE[[#This Row],[PROFIT]]/SALESTABLE[[#This Row],[Revenue]]*100</f>
        <v>35.560648314327523</v>
      </c>
    </row>
    <row r="162" spans="1:10" x14ac:dyDescent="0.35">
      <c r="A162" t="s">
        <v>276</v>
      </c>
      <c r="B162" s="4">
        <v>44995</v>
      </c>
      <c r="C162" t="s">
        <v>86</v>
      </c>
      <c r="D162" t="s">
        <v>28</v>
      </c>
      <c r="E162">
        <v>4</v>
      </c>
      <c r="F162">
        <v>15</v>
      </c>
      <c r="G162" cm="1">
        <f t="array" ref="G162">SALESTABLE[[#This Row],[Quantity]]*_xlfn.XLOOKUP(SALESTABLE[[#This Row],[Product_ID]],ProductsTable[Product_ID],ProductsTable[Unit_Price],WAASIU,0,1)</f>
        <v>1701.92</v>
      </c>
      <c r="H162" cm="1">
        <f t="array" ref="H162">SALESTABLE[[#This Row],[Quantity]]*_xlfn.XLOOKUP(SALESTABLE[[#This Row],[Product_ID]],ProductsTable[Product_ID],ProductsTable[Cost_Price],WAASIU,0,1)</f>
        <v>933.92</v>
      </c>
      <c r="I162">
        <f>SALESTABLE[[#This Row],[Revenue]]-SALESTABLE[[#This Row],[COST]]</f>
        <v>768.00000000000011</v>
      </c>
      <c r="J162">
        <f>SALESTABLE[[#This Row],[PROFIT]]/SALESTABLE[[#This Row],[Revenue]]*100</f>
        <v>45.12550531164802</v>
      </c>
    </row>
    <row r="163" spans="1:10" x14ac:dyDescent="0.35">
      <c r="A163" t="s">
        <v>277</v>
      </c>
      <c r="B163" s="4">
        <v>45403</v>
      </c>
      <c r="C163" t="s">
        <v>270</v>
      </c>
      <c r="D163" t="s">
        <v>125</v>
      </c>
      <c r="E163">
        <v>16</v>
      </c>
      <c r="F163">
        <v>0</v>
      </c>
      <c r="G163" cm="1">
        <f t="array" ref="G163">SALESTABLE[[#This Row],[Quantity]]*_xlfn.XLOOKUP(SALESTABLE[[#This Row],[Product_ID]],ProductsTable[Product_ID],ProductsTable[Unit_Price],WAASIU,0,1)</f>
        <v>5355.2</v>
      </c>
      <c r="H163" cm="1">
        <f t="array" ref="H163">SALESTABLE[[#This Row],[Quantity]]*_xlfn.XLOOKUP(SALESTABLE[[#This Row],[Product_ID]],ProductsTable[Product_ID],ProductsTable[Cost_Price],WAASIU,0,1)</f>
        <v>3992.32</v>
      </c>
      <c r="I163">
        <f>SALESTABLE[[#This Row],[Revenue]]-SALESTABLE[[#This Row],[COST]]</f>
        <v>1362.8799999999997</v>
      </c>
      <c r="J163">
        <f>SALESTABLE[[#This Row],[PROFIT]]/SALESTABLE[[#This Row],[Revenue]]*100</f>
        <v>25.449656408724223</v>
      </c>
    </row>
    <row r="164" spans="1:10" x14ac:dyDescent="0.35">
      <c r="A164" t="s">
        <v>278</v>
      </c>
      <c r="B164" s="4">
        <v>45333</v>
      </c>
      <c r="C164" t="s">
        <v>257</v>
      </c>
      <c r="D164" t="s">
        <v>113</v>
      </c>
      <c r="E164">
        <v>12</v>
      </c>
      <c r="F164">
        <v>5</v>
      </c>
      <c r="G164" cm="1">
        <f t="array" ref="G164">SALESTABLE[[#This Row],[Quantity]]*_xlfn.XLOOKUP(SALESTABLE[[#This Row],[Product_ID]],ProductsTable[Product_ID],ProductsTable[Unit_Price],WAASIU,0,1)</f>
        <v>4045.08</v>
      </c>
      <c r="H164" cm="1">
        <f t="array" ref="H164">SALESTABLE[[#This Row],[Quantity]]*_xlfn.XLOOKUP(SALESTABLE[[#This Row],[Product_ID]],ProductsTable[Product_ID],ProductsTable[Cost_Price],WAASIU,0,1)</f>
        <v>2236.92</v>
      </c>
      <c r="I164">
        <f>SALESTABLE[[#This Row],[Revenue]]-SALESTABLE[[#This Row],[COST]]</f>
        <v>1808.1599999999999</v>
      </c>
      <c r="J164">
        <f>SALESTABLE[[#This Row],[PROFIT]]/SALESTABLE[[#This Row],[Revenue]]*100</f>
        <v>44.700228425643004</v>
      </c>
    </row>
    <row r="165" spans="1:10" x14ac:dyDescent="0.35">
      <c r="A165" t="s">
        <v>279</v>
      </c>
      <c r="B165" s="4">
        <v>45319</v>
      </c>
      <c r="C165" t="s">
        <v>179</v>
      </c>
      <c r="D165" t="s">
        <v>125</v>
      </c>
      <c r="E165">
        <v>13</v>
      </c>
      <c r="F165">
        <v>10</v>
      </c>
      <c r="G165" cm="1">
        <f t="array" ref="G165">SALESTABLE[[#This Row],[Quantity]]*_xlfn.XLOOKUP(SALESTABLE[[#This Row],[Product_ID]],ProductsTable[Product_ID],ProductsTable[Unit_Price],WAASIU,0,1)</f>
        <v>4351.0999999999995</v>
      </c>
      <c r="H165" cm="1">
        <f t="array" ref="H165">SALESTABLE[[#This Row],[Quantity]]*_xlfn.XLOOKUP(SALESTABLE[[#This Row],[Product_ID]],ProductsTable[Product_ID],ProductsTable[Cost_Price],WAASIU,0,1)</f>
        <v>3243.76</v>
      </c>
      <c r="I165">
        <f>SALESTABLE[[#This Row],[Revenue]]-SALESTABLE[[#This Row],[COST]]</f>
        <v>1107.3399999999992</v>
      </c>
      <c r="J165">
        <f>SALESTABLE[[#This Row],[PROFIT]]/SALESTABLE[[#This Row],[Revenue]]*100</f>
        <v>25.449656408724213</v>
      </c>
    </row>
    <row r="166" spans="1:10" x14ac:dyDescent="0.35">
      <c r="A166" t="s">
        <v>280</v>
      </c>
      <c r="B166" s="4">
        <v>45046</v>
      </c>
      <c r="C166" t="s">
        <v>198</v>
      </c>
      <c r="D166" t="s">
        <v>133</v>
      </c>
      <c r="E166">
        <v>16</v>
      </c>
      <c r="F166">
        <v>10</v>
      </c>
      <c r="G166" cm="1">
        <f t="array" ref="G166">SALESTABLE[[#This Row],[Quantity]]*_xlfn.XLOOKUP(SALESTABLE[[#This Row],[Product_ID]],ProductsTable[Product_ID],ProductsTable[Unit_Price],WAASIU,0,1)</f>
        <v>5616</v>
      </c>
      <c r="H166" cm="1">
        <f t="array" ref="H166">SALESTABLE[[#This Row],[Quantity]]*_xlfn.XLOOKUP(SALESTABLE[[#This Row],[Product_ID]],ProductsTable[Product_ID],ProductsTable[Cost_Price],WAASIU,0,1)</f>
        <v>3738.08</v>
      </c>
      <c r="I166">
        <f>SALESTABLE[[#This Row],[Revenue]]-SALESTABLE[[#This Row],[COST]]</f>
        <v>1877.92</v>
      </c>
      <c r="J166">
        <f>SALESTABLE[[#This Row],[PROFIT]]/SALESTABLE[[#This Row],[Revenue]]*100</f>
        <v>33.438746438746442</v>
      </c>
    </row>
    <row r="167" spans="1:10" x14ac:dyDescent="0.35">
      <c r="A167" t="s">
        <v>281</v>
      </c>
      <c r="B167" s="4">
        <v>45026</v>
      </c>
      <c r="C167" t="s">
        <v>76</v>
      </c>
      <c r="D167" t="s">
        <v>22</v>
      </c>
      <c r="E167">
        <v>15</v>
      </c>
      <c r="F167">
        <v>15</v>
      </c>
      <c r="G167" cm="1">
        <f t="array" ref="G167">SALESTABLE[[#This Row],[Quantity]]*_xlfn.XLOOKUP(SALESTABLE[[#This Row],[Product_ID]],ProductsTable[Product_ID],ProductsTable[Unit_Price],WAASIU,0,1)</f>
        <v>6295.05</v>
      </c>
      <c r="H167" cm="1">
        <f t="array" ref="H167">SALESTABLE[[#This Row],[Quantity]]*_xlfn.XLOOKUP(SALESTABLE[[#This Row],[Product_ID]],ProductsTable[Product_ID],ProductsTable[Cost_Price],WAASIU,0,1)</f>
        <v>3201.2999999999997</v>
      </c>
      <c r="I167">
        <f>SALESTABLE[[#This Row],[Revenue]]-SALESTABLE[[#This Row],[COST]]</f>
        <v>3093.7500000000005</v>
      </c>
      <c r="J167">
        <f>SALESTABLE[[#This Row],[PROFIT]]/SALESTABLE[[#This Row],[Revenue]]*100</f>
        <v>49.145757380799203</v>
      </c>
    </row>
    <row r="168" spans="1:10" x14ac:dyDescent="0.35">
      <c r="A168" t="s">
        <v>282</v>
      </c>
      <c r="B168" s="4">
        <v>44943</v>
      </c>
      <c r="C168" t="s">
        <v>112</v>
      </c>
      <c r="D168" t="s">
        <v>16</v>
      </c>
      <c r="E168">
        <v>1</v>
      </c>
      <c r="F168">
        <v>5</v>
      </c>
      <c r="G168" cm="1">
        <f t="array" ref="G168">SALESTABLE[[#This Row],[Quantity]]*_xlfn.XLOOKUP(SALESTABLE[[#This Row],[Product_ID]],ProductsTable[Product_ID],ProductsTable[Unit_Price],WAASIU,0,1)</f>
        <v>362.17</v>
      </c>
      <c r="H168" cm="1">
        <f t="array" ref="H168">SALESTABLE[[#This Row],[Quantity]]*_xlfn.XLOOKUP(SALESTABLE[[#This Row],[Product_ID]],ProductsTable[Product_ID],ProductsTable[Cost_Price],WAASIU,0,1)</f>
        <v>233.38</v>
      </c>
      <c r="I168">
        <f>SALESTABLE[[#This Row],[Revenue]]-SALESTABLE[[#This Row],[COST]]</f>
        <v>128.79000000000002</v>
      </c>
      <c r="J168">
        <f>SALESTABLE[[#This Row],[PROFIT]]/SALESTABLE[[#This Row],[Revenue]]*100</f>
        <v>35.56064831432753</v>
      </c>
    </row>
    <row r="169" spans="1:10" x14ac:dyDescent="0.35">
      <c r="A169" t="s">
        <v>283</v>
      </c>
      <c r="B169" s="4">
        <v>45296</v>
      </c>
      <c r="C169" t="s">
        <v>284</v>
      </c>
      <c r="D169" t="s">
        <v>11</v>
      </c>
      <c r="E169">
        <v>19</v>
      </c>
      <c r="F169">
        <v>0</v>
      </c>
      <c r="G169" cm="1">
        <f t="array" ref="G169">SALESTABLE[[#This Row],[Quantity]]*_xlfn.XLOOKUP(SALESTABLE[[#This Row],[Product_ID]],ProductsTable[Product_ID],ProductsTable[Unit_Price],WAASIU,0,1)</f>
        <v>9068.1299999999992</v>
      </c>
      <c r="H169" cm="1">
        <f t="array" ref="H169">SALESTABLE[[#This Row],[Quantity]]*_xlfn.XLOOKUP(SALESTABLE[[#This Row],[Product_ID]],ProductsTable[Product_ID],ProductsTable[Cost_Price],WAASIU,0,1)</f>
        <v>5677.9599999999991</v>
      </c>
      <c r="I169">
        <f>SALESTABLE[[#This Row],[Revenue]]-SALESTABLE[[#This Row],[COST]]</f>
        <v>3390.17</v>
      </c>
      <c r="J169">
        <f>SALESTABLE[[#This Row],[PROFIT]]/SALESTABLE[[#This Row],[Revenue]]*100</f>
        <v>37.385546965030279</v>
      </c>
    </row>
    <row r="170" spans="1:10" x14ac:dyDescent="0.35">
      <c r="A170" t="s">
        <v>285</v>
      </c>
      <c r="B170" s="4">
        <v>44992</v>
      </c>
      <c r="C170" t="s">
        <v>96</v>
      </c>
      <c r="D170" t="s">
        <v>41</v>
      </c>
      <c r="E170">
        <v>12</v>
      </c>
      <c r="F170">
        <v>0</v>
      </c>
      <c r="G170" cm="1">
        <f t="array" ref="G170">SALESTABLE[[#This Row],[Quantity]]*_xlfn.XLOOKUP(SALESTABLE[[#This Row],[Product_ID]],ProductsTable[Product_ID],ProductsTable[Unit_Price],WAASIU,0,1)</f>
        <v>5109</v>
      </c>
      <c r="H170" cm="1">
        <f t="array" ref="H170">SALESTABLE[[#This Row],[Quantity]]*_xlfn.XLOOKUP(SALESTABLE[[#This Row],[Product_ID]],ProductsTable[Product_ID],ProductsTable[Cost_Price],WAASIU,0,1)</f>
        <v>2917.56</v>
      </c>
      <c r="I170">
        <f>SALESTABLE[[#This Row],[Revenue]]-SALESTABLE[[#This Row],[COST]]</f>
        <v>2191.44</v>
      </c>
      <c r="J170">
        <f>SALESTABLE[[#This Row],[PROFIT]]/SALESTABLE[[#This Row],[Revenue]]*100</f>
        <v>42.89371697005285</v>
      </c>
    </row>
    <row r="171" spans="1:10" x14ac:dyDescent="0.35">
      <c r="A171" t="s">
        <v>286</v>
      </c>
      <c r="B171" s="4">
        <v>45406</v>
      </c>
      <c r="C171" t="s">
        <v>79</v>
      </c>
      <c r="D171" t="s">
        <v>133</v>
      </c>
      <c r="E171">
        <v>13</v>
      </c>
      <c r="F171">
        <v>10</v>
      </c>
      <c r="G171" cm="1">
        <f t="array" ref="G171">SALESTABLE[[#This Row],[Quantity]]*_xlfn.XLOOKUP(SALESTABLE[[#This Row],[Product_ID]],ProductsTable[Product_ID],ProductsTable[Unit_Price],WAASIU,0,1)</f>
        <v>4563</v>
      </c>
      <c r="H171" cm="1">
        <f t="array" ref="H171">SALESTABLE[[#This Row],[Quantity]]*_xlfn.XLOOKUP(SALESTABLE[[#This Row],[Product_ID]],ProductsTable[Product_ID],ProductsTable[Cost_Price],WAASIU,0,1)</f>
        <v>3037.19</v>
      </c>
      <c r="I171">
        <f>SALESTABLE[[#This Row],[Revenue]]-SALESTABLE[[#This Row],[COST]]</f>
        <v>1525.81</v>
      </c>
      <c r="J171">
        <f>SALESTABLE[[#This Row],[PROFIT]]/SALESTABLE[[#This Row],[Revenue]]*100</f>
        <v>33.438746438746435</v>
      </c>
    </row>
    <row r="172" spans="1:10" x14ac:dyDescent="0.35">
      <c r="A172" t="s">
        <v>287</v>
      </c>
      <c r="B172" s="4">
        <v>45218</v>
      </c>
      <c r="C172" t="s">
        <v>15</v>
      </c>
      <c r="D172" t="s">
        <v>19</v>
      </c>
      <c r="E172">
        <v>8</v>
      </c>
      <c r="F172">
        <v>10</v>
      </c>
      <c r="G172" cm="1">
        <f t="array" ref="G172">SALESTABLE[[#This Row],[Quantity]]*_xlfn.XLOOKUP(SALESTABLE[[#This Row],[Product_ID]],ProductsTable[Product_ID],ProductsTable[Unit_Price],WAASIU,0,1)</f>
        <v>486.08</v>
      </c>
      <c r="H172" cm="1">
        <f t="array" ref="H172">SALESTABLE[[#This Row],[Quantity]]*_xlfn.XLOOKUP(SALESTABLE[[#This Row],[Product_ID]],ProductsTable[Product_ID],ProductsTable[Cost_Price],WAASIU,0,1)</f>
        <v>323.60000000000002</v>
      </c>
      <c r="I172">
        <f>SALESTABLE[[#This Row],[Revenue]]-SALESTABLE[[#This Row],[COST]]</f>
        <v>162.47999999999996</v>
      </c>
      <c r="J172">
        <f>SALESTABLE[[#This Row],[PROFIT]]/SALESTABLE[[#This Row],[Revenue]]*100</f>
        <v>33.426596445029617</v>
      </c>
    </row>
    <row r="173" spans="1:10" x14ac:dyDescent="0.35">
      <c r="A173" t="s">
        <v>288</v>
      </c>
      <c r="B173" s="4">
        <v>45281</v>
      </c>
      <c r="C173" t="s">
        <v>289</v>
      </c>
      <c r="D173" t="s">
        <v>57</v>
      </c>
      <c r="E173">
        <v>10</v>
      </c>
      <c r="F173">
        <v>10</v>
      </c>
      <c r="G173" cm="1">
        <f t="array" ref="G173">SALESTABLE[[#This Row],[Quantity]]*_xlfn.XLOOKUP(SALESTABLE[[#This Row],[Product_ID]],ProductsTable[Product_ID],ProductsTable[Unit_Price],WAASIU,0,1)</f>
        <v>1588.3000000000002</v>
      </c>
      <c r="H173" cm="1">
        <f t="array" ref="H173">SALESTABLE[[#This Row],[Quantity]]*_xlfn.XLOOKUP(SALESTABLE[[#This Row],[Product_ID]],ProductsTable[Product_ID],ProductsTable[Cost_Price],WAASIU,0,1)</f>
        <v>1269.4000000000001</v>
      </c>
      <c r="I173">
        <f>SALESTABLE[[#This Row],[Revenue]]-SALESTABLE[[#This Row],[COST]]</f>
        <v>318.90000000000009</v>
      </c>
      <c r="J173">
        <f>SALESTABLE[[#This Row],[PROFIT]]/SALESTABLE[[#This Row],[Revenue]]*100</f>
        <v>20.07807089340805</v>
      </c>
    </row>
    <row r="174" spans="1:10" x14ac:dyDescent="0.35">
      <c r="A174" t="s">
        <v>290</v>
      </c>
      <c r="B174" s="4">
        <v>45441</v>
      </c>
      <c r="C174" t="s">
        <v>71</v>
      </c>
      <c r="D174" t="s">
        <v>19</v>
      </c>
      <c r="E174">
        <v>20</v>
      </c>
      <c r="F174">
        <v>10</v>
      </c>
      <c r="G174" cm="1">
        <f t="array" ref="G174">SALESTABLE[[#This Row],[Quantity]]*_xlfn.XLOOKUP(SALESTABLE[[#This Row],[Product_ID]],ProductsTable[Product_ID],ProductsTable[Unit_Price],WAASIU,0,1)</f>
        <v>1215.2</v>
      </c>
      <c r="H174" cm="1">
        <f t="array" ref="H174">SALESTABLE[[#This Row],[Quantity]]*_xlfn.XLOOKUP(SALESTABLE[[#This Row],[Product_ID]],ProductsTable[Product_ID],ProductsTable[Cost_Price],WAASIU,0,1)</f>
        <v>809</v>
      </c>
      <c r="I174">
        <f>SALESTABLE[[#This Row],[Revenue]]-SALESTABLE[[#This Row],[COST]]</f>
        <v>406.20000000000005</v>
      </c>
      <c r="J174">
        <f>SALESTABLE[[#This Row],[PROFIT]]/SALESTABLE[[#This Row],[Revenue]]*100</f>
        <v>33.426596445029624</v>
      </c>
    </row>
    <row r="175" spans="1:10" x14ac:dyDescent="0.35">
      <c r="A175" t="s">
        <v>291</v>
      </c>
      <c r="B175" s="4">
        <v>45007</v>
      </c>
      <c r="C175" t="s">
        <v>292</v>
      </c>
      <c r="D175" t="s">
        <v>77</v>
      </c>
      <c r="E175">
        <v>8</v>
      </c>
      <c r="F175">
        <v>15</v>
      </c>
      <c r="G175" cm="1">
        <f t="array" ref="G175">SALESTABLE[[#This Row],[Quantity]]*_xlfn.XLOOKUP(SALESTABLE[[#This Row],[Product_ID]],ProductsTable[Product_ID],ProductsTable[Unit_Price],WAASIU,0,1)</f>
        <v>734.4</v>
      </c>
      <c r="H175" cm="1">
        <f t="array" ref="H175">SALESTABLE[[#This Row],[Quantity]]*_xlfn.XLOOKUP(SALESTABLE[[#This Row],[Product_ID]],ProductsTable[Product_ID],ProductsTable[Cost_Price],WAASIU,0,1)</f>
        <v>391.76</v>
      </c>
      <c r="I175">
        <f>SALESTABLE[[#This Row],[Revenue]]-SALESTABLE[[#This Row],[COST]]</f>
        <v>342.64</v>
      </c>
      <c r="J175">
        <f>SALESTABLE[[#This Row],[PROFIT]]/SALESTABLE[[#This Row],[Revenue]]*100</f>
        <v>46.655773420479299</v>
      </c>
    </row>
    <row r="176" spans="1:10" x14ac:dyDescent="0.35">
      <c r="A176" t="s">
        <v>293</v>
      </c>
      <c r="B176" s="4">
        <v>45183</v>
      </c>
      <c r="C176" t="s">
        <v>294</v>
      </c>
      <c r="D176" t="s">
        <v>248</v>
      </c>
      <c r="E176">
        <v>20</v>
      </c>
      <c r="F176">
        <v>10</v>
      </c>
      <c r="G176" cm="1">
        <f t="array" ref="G176">SALESTABLE[[#This Row],[Quantity]]*_xlfn.XLOOKUP(SALESTABLE[[#This Row],[Product_ID]],ProductsTable[Product_ID],ProductsTable[Unit_Price],WAASIU,0,1)</f>
        <v>3734.2000000000003</v>
      </c>
      <c r="H176" cm="1">
        <f t="array" ref="H176">SALESTABLE[[#This Row],[Quantity]]*_xlfn.XLOOKUP(SALESTABLE[[#This Row],[Product_ID]],ProductsTable[Product_ID],ProductsTable[Cost_Price],WAASIU,0,1)</f>
        <v>2503.8000000000002</v>
      </c>
      <c r="I176">
        <f>SALESTABLE[[#This Row],[Revenue]]-SALESTABLE[[#This Row],[COST]]</f>
        <v>1230.4000000000001</v>
      </c>
      <c r="J176">
        <f>SALESTABLE[[#This Row],[PROFIT]]/SALESTABLE[[#This Row],[Revenue]]*100</f>
        <v>32.949493867495043</v>
      </c>
    </row>
    <row r="177" spans="1:10" x14ac:dyDescent="0.35">
      <c r="A177" t="s">
        <v>295</v>
      </c>
      <c r="B177" s="4">
        <v>45493</v>
      </c>
      <c r="C177" t="s">
        <v>169</v>
      </c>
      <c r="D177" t="s">
        <v>57</v>
      </c>
      <c r="E177">
        <v>15</v>
      </c>
      <c r="F177">
        <v>15</v>
      </c>
      <c r="G177" cm="1">
        <f t="array" ref="G177">SALESTABLE[[#This Row],[Quantity]]*_xlfn.XLOOKUP(SALESTABLE[[#This Row],[Product_ID]],ProductsTable[Product_ID],ProductsTable[Unit_Price],WAASIU,0,1)</f>
        <v>2382.4500000000003</v>
      </c>
      <c r="H177" cm="1">
        <f t="array" ref="H177">SALESTABLE[[#This Row],[Quantity]]*_xlfn.XLOOKUP(SALESTABLE[[#This Row],[Product_ID]],ProductsTable[Product_ID],ProductsTable[Cost_Price],WAASIU,0,1)</f>
        <v>1904.1</v>
      </c>
      <c r="I177">
        <f>SALESTABLE[[#This Row],[Revenue]]-SALESTABLE[[#This Row],[COST]]</f>
        <v>478.35000000000036</v>
      </c>
      <c r="J177">
        <f>SALESTABLE[[#This Row],[PROFIT]]/SALESTABLE[[#This Row],[Revenue]]*100</f>
        <v>20.078070893408061</v>
      </c>
    </row>
    <row r="178" spans="1:10" x14ac:dyDescent="0.35">
      <c r="A178" t="s">
        <v>296</v>
      </c>
      <c r="B178" s="4">
        <v>45012</v>
      </c>
      <c r="C178" t="s">
        <v>297</v>
      </c>
      <c r="D178" t="s">
        <v>52</v>
      </c>
      <c r="E178">
        <v>10</v>
      </c>
      <c r="F178">
        <v>15</v>
      </c>
      <c r="G178" cm="1">
        <f t="array" ref="G178">SALESTABLE[[#This Row],[Quantity]]*_xlfn.XLOOKUP(SALESTABLE[[#This Row],[Product_ID]],ProductsTable[Product_ID],ProductsTable[Unit_Price],WAASIU,0,1)</f>
        <v>1837.8</v>
      </c>
      <c r="H178" cm="1">
        <f t="array" ref="H178">SALESTABLE[[#This Row],[Quantity]]*_xlfn.XLOOKUP(SALESTABLE[[#This Row],[Product_ID]],ProductsTable[Product_ID],ProductsTable[Cost_Price],WAASIU,0,1)</f>
        <v>1156.3</v>
      </c>
      <c r="I178">
        <f>SALESTABLE[[#This Row],[Revenue]]-SALESTABLE[[#This Row],[COST]]</f>
        <v>681.5</v>
      </c>
      <c r="J178">
        <f>SALESTABLE[[#This Row],[PROFIT]]/SALESTABLE[[#This Row],[Revenue]]*100</f>
        <v>37.082381107846338</v>
      </c>
    </row>
    <row r="179" spans="1:10" x14ac:dyDescent="0.35">
      <c r="A179" t="s">
        <v>298</v>
      </c>
      <c r="B179" s="4">
        <v>45584</v>
      </c>
      <c r="C179" t="s">
        <v>159</v>
      </c>
      <c r="D179" t="s">
        <v>41</v>
      </c>
      <c r="E179">
        <v>11</v>
      </c>
      <c r="F179">
        <v>5</v>
      </c>
      <c r="G179" cm="1">
        <f t="array" ref="G179">SALESTABLE[[#This Row],[Quantity]]*_xlfn.XLOOKUP(SALESTABLE[[#This Row],[Product_ID]],ProductsTable[Product_ID],ProductsTable[Unit_Price],WAASIU,0,1)</f>
        <v>4683.25</v>
      </c>
      <c r="H179" cm="1">
        <f t="array" ref="H179">SALESTABLE[[#This Row],[Quantity]]*_xlfn.XLOOKUP(SALESTABLE[[#This Row],[Product_ID]],ProductsTable[Product_ID],ProductsTable[Cost_Price],WAASIU,0,1)</f>
        <v>2674.43</v>
      </c>
      <c r="I179">
        <f>SALESTABLE[[#This Row],[Revenue]]-SALESTABLE[[#This Row],[COST]]</f>
        <v>2008.8200000000002</v>
      </c>
      <c r="J179">
        <f>SALESTABLE[[#This Row],[PROFIT]]/SALESTABLE[[#This Row],[Revenue]]*100</f>
        <v>42.89371697005285</v>
      </c>
    </row>
    <row r="180" spans="1:10" x14ac:dyDescent="0.35">
      <c r="A180" t="s">
        <v>299</v>
      </c>
      <c r="B180" s="4">
        <v>45608</v>
      </c>
      <c r="C180" t="s">
        <v>142</v>
      </c>
      <c r="D180" t="s">
        <v>11</v>
      </c>
      <c r="E180">
        <v>12</v>
      </c>
      <c r="F180">
        <v>5</v>
      </c>
      <c r="G180" cm="1">
        <f t="array" ref="G180">SALESTABLE[[#This Row],[Quantity]]*_xlfn.XLOOKUP(SALESTABLE[[#This Row],[Product_ID]],ProductsTable[Product_ID],ProductsTable[Unit_Price],WAASIU,0,1)</f>
        <v>5727.24</v>
      </c>
      <c r="H180" cm="1">
        <f t="array" ref="H180">SALESTABLE[[#This Row],[Quantity]]*_xlfn.XLOOKUP(SALESTABLE[[#This Row],[Product_ID]],ProductsTable[Product_ID],ProductsTable[Cost_Price],WAASIU,0,1)</f>
        <v>3586.08</v>
      </c>
      <c r="I180">
        <f>SALESTABLE[[#This Row],[Revenue]]-SALESTABLE[[#This Row],[COST]]</f>
        <v>2141.16</v>
      </c>
      <c r="J180">
        <f>SALESTABLE[[#This Row],[PROFIT]]/SALESTABLE[[#This Row],[Revenue]]*100</f>
        <v>37.385546965030272</v>
      </c>
    </row>
    <row r="181" spans="1:10" x14ac:dyDescent="0.35">
      <c r="A181" t="s">
        <v>300</v>
      </c>
      <c r="B181" s="4">
        <v>44968</v>
      </c>
      <c r="C181" t="s">
        <v>301</v>
      </c>
      <c r="D181" t="s">
        <v>49</v>
      </c>
      <c r="E181">
        <v>4</v>
      </c>
      <c r="F181">
        <v>15</v>
      </c>
      <c r="G181" cm="1">
        <f t="array" ref="G181">SALESTABLE[[#This Row],[Quantity]]*_xlfn.XLOOKUP(SALESTABLE[[#This Row],[Product_ID]],ProductsTable[Product_ID],ProductsTable[Unit_Price],WAASIU,0,1)</f>
        <v>918.52</v>
      </c>
      <c r="H181" cm="1">
        <f t="array" ref="H181">SALESTABLE[[#This Row],[Quantity]]*_xlfn.XLOOKUP(SALESTABLE[[#This Row],[Product_ID]],ProductsTable[Product_ID],ProductsTable[Cost_Price],WAASIU,0,1)</f>
        <v>525.67999999999995</v>
      </c>
      <c r="I181">
        <f>SALESTABLE[[#This Row],[Revenue]]-SALESTABLE[[#This Row],[COST]]</f>
        <v>392.84000000000003</v>
      </c>
      <c r="J181">
        <f>SALESTABLE[[#This Row],[PROFIT]]/SALESTABLE[[#This Row],[Revenue]]*100</f>
        <v>42.76880198580325</v>
      </c>
    </row>
    <row r="182" spans="1:10" x14ac:dyDescent="0.35">
      <c r="A182" t="s">
        <v>302</v>
      </c>
      <c r="B182" s="4">
        <v>45473</v>
      </c>
      <c r="C182" t="s">
        <v>209</v>
      </c>
      <c r="D182" t="s">
        <v>93</v>
      </c>
      <c r="E182">
        <v>16</v>
      </c>
      <c r="F182">
        <v>15</v>
      </c>
      <c r="G182" cm="1">
        <f t="array" ref="G182">SALESTABLE[[#This Row],[Quantity]]*_xlfn.XLOOKUP(SALESTABLE[[#This Row],[Product_ID]],ProductsTable[Product_ID],ProductsTable[Unit_Price],WAASIU,0,1)</f>
        <v>3424.48</v>
      </c>
      <c r="H182" cm="1">
        <f t="array" ref="H182">SALESTABLE[[#This Row],[Quantity]]*_xlfn.XLOOKUP(SALESTABLE[[#This Row],[Product_ID]],ProductsTable[Product_ID],ProductsTable[Cost_Price],WAASIU,0,1)</f>
        <v>2507.36</v>
      </c>
      <c r="I182">
        <f>SALESTABLE[[#This Row],[Revenue]]-SALESTABLE[[#This Row],[COST]]</f>
        <v>917.11999999999989</v>
      </c>
      <c r="J182">
        <f>SALESTABLE[[#This Row],[PROFIT]]/SALESTABLE[[#This Row],[Revenue]]*100</f>
        <v>26.781292342195016</v>
      </c>
    </row>
    <row r="183" spans="1:10" x14ac:dyDescent="0.35">
      <c r="A183" t="s">
        <v>303</v>
      </c>
      <c r="B183" s="4">
        <v>44993</v>
      </c>
      <c r="C183" t="s">
        <v>304</v>
      </c>
      <c r="D183" t="s">
        <v>49</v>
      </c>
      <c r="E183">
        <v>7</v>
      </c>
      <c r="F183">
        <v>10</v>
      </c>
      <c r="G183" cm="1">
        <f t="array" ref="G183">SALESTABLE[[#This Row],[Quantity]]*_xlfn.XLOOKUP(SALESTABLE[[#This Row],[Product_ID]],ProductsTable[Product_ID],ProductsTable[Unit_Price],WAASIU,0,1)</f>
        <v>1607.4099999999999</v>
      </c>
      <c r="H183" cm="1">
        <f t="array" ref="H183">SALESTABLE[[#This Row],[Quantity]]*_xlfn.XLOOKUP(SALESTABLE[[#This Row],[Product_ID]],ProductsTable[Product_ID],ProductsTable[Cost_Price],WAASIU,0,1)</f>
        <v>919.93999999999994</v>
      </c>
      <c r="I183">
        <f>SALESTABLE[[#This Row],[Revenue]]-SALESTABLE[[#This Row],[COST]]</f>
        <v>687.46999999999991</v>
      </c>
      <c r="J183">
        <f>SALESTABLE[[#This Row],[PROFIT]]/SALESTABLE[[#This Row],[Revenue]]*100</f>
        <v>42.768801985803243</v>
      </c>
    </row>
    <row r="184" spans="1:10" x14ac:dyDescent="0.35">
      <c r="A184" t="s">
        <v>305</v>
      </c>
      <c r="B184" s="4">
        <v>44930</v>
      </c>
      <c r="C184" t="s">
        <v>306</v>
      </c>
      <c r="D184" t="s">
        <v>113</v>
      </c>
      <c r="E184">
        <v>19</v>
      </c>
      <c r="F184">
        <v>10</v>
      </c>
      <c r="G184" cm="1">
        <f t="array" ref="G184">SALESTABLE[[#This Row],[Quantity]]*_xlfn.XLOOKUP(SALESTABLE[[#This Row],[Product_ID]],ProductsTable[Product_ID],ProductsTable[Unit_Price],WAASIU,0,1)</f>
        <v>6404.7099999999991</v>
      </c>
      <c r="H184" cm="1">
        <f t="array" ref="H184">SALESTABLE[[#This Row],[Quantity]]*_xlfn.XLOOKUP(SALESTABLE[[#This Row],[Product_ID]],ProductsTable[Product_ID],ProductsTable[Cost_Price],WAASIU,0,1)</f>
        <v>3541.79</v>
      </c>
      <c r="I184">
        <f>SALESTABLE[[#This Row],[Revenue]]-SALESTABLE[[#This Row],[COST]]</f>
        <v>2862.9199999999992</v>
      </c>
      <c r="J184">
        <f>SALESTABLE[[#This Row],[PROFIT]]/SALESTABLE[[#This Row],[Revenue]]*100</f>
        <v>44.700228425642997</v>
      </c>
    </row>
    <row r="185" spans="1:10" x14ac:dyDescent="0.35">
      <c r="A185" t="s">
        <v>307</v>
      </c>
      <c r="B185" s="4">
        <v>45217</v>
      </c>
      <c r="C185" t="s">
        <v>292</v>
      </c>
      <c r="D185" t="s">
        <v>248</v>
      </c>
      <c r="E185">
        <v>20</v>
      </c>
      <c r="F185">
        <v>10</v>
      </c>
      <c r="G185" cm="1">
        <f t="array" ref="G185">SALESTABLE[[#This Row],[Quantity]]*_xlfn.XLOOKUP(SALESTABLE[[#This Row],[Product_ID]],ProductsTable[Product_ID],ProductsTable[Unit_Price],WAASIU,0,1)</f>
        <v>3734.2000000000003</v>
      </c>
      <c r="H185" cm="1">
        <f t="array" ref="H185">SALESTABLE[[#This Row],[Quantity]]*_xlfn.XLOOKUP(SALESTABLE[[#This Row],[Product_ID]],ProductsTable[Product_ID],ProductsTable[Cost_Price],WAASIU,0,1)</f>
        <v>2503.8000000000002</v>
      </c>
      <c r="I185">
        <f>SALESTABLE[[#This Row],[Revenue]]-SALESTABLE[[#This Row],[COST]]</f>
        <v>1230.4000000000001</v>
      </c>
      <c r="J185">
        <f>SALESTABLE[[#This Row],[PROFIT]]/SALESTABLE[[#This Row],[Revenue]]*100</f>
        <v>32.949493867495043</v>
      </c>
    </row>
    <row r="186" spans="1:10" x14ac:dyDescent="0.35">
      <c r="A186" t="s">
        <v>308</v>
      </c>
      <c r="B186" s="4">
        <v>45140</v>
      </c>
      <c r="C186" t="s">
        <v>76</v>
      </c>
      <c r="D186" t="s">
        <v>41</v>
      </c>
      <c r="E186">
        <v>7</v>
      </c>
      <c r="F186">
        <v>5</v>
      </c>
      <c r="G186" cm="1">
        <f t="array" ref="G186">SALESTABLE[[#This Row],[Quantity]]*_xlfn.XLOOKUP(SALESTABLE[[#This Row],[Product_ID]],ProductsTable[Product_ID],ProductsTable[Unit_Price],WAASIU,0,1)</f>
        <v>2980.25</v>
      </c>
      <c r="H186" cm="1">
        <f t="array" ref="H186">SALESTABLE[[#This Row],[Quantity]]*_xlfn.XLOOKUP(SALESTABLE[[#This Row],[Product_ID]],ProductsTable[Product_ID],ProductsTable[Cost_Price],WAASIU,0,1)</f>
        <v>1701.9099999999999</v>
      </c>
      <c r="I186">
        <f>SALESTABLE[[#This Row],[Revenue]]-SALESTABLE[[#This Row],[COST]]</f>
        <v>1278.3400000000001</v>
      </c>
      <c r="J186">
        <f>SALESTABLE[[#This Row],[PROFIT]]/SALESTABLE[[#This Row],[Revenue]]*100</f>
        <v>42.89371697005285</v>
      </c>
    </row>
    <row r="187" spans="1:10" x14ac:dyDescent="0.35">
      <c r="A187" t="s">
        <v>309</v>
      </c>
      <c r="B187" s="4">
        <v>44972</v>
      </c>
      <c r="C187" t="s">
        <v>129</v>
      </c>
      <c r="D187" t="s">
        <v>34</v>
      </c>
      <c r="E187">
        <v>17</v>
      </c>
      <c r="F187">
        <v>20</v>
      </c>
      <c r="G187" cm="1">
        <f t="array" ref="G187">SALESTABLE[[#This Row],[Quantity]]*_xlfn.XLOOKUP(SALESTABLE[[#This Row],[Product_ID]],ProductsTable[Product_ID],ProductsTable[Unit_Price],WAASIU,0,1)</f>
        <v>5588.75</v>
      </c>
      <c r="H187" cm="1">
        <f t="array" ref="H187">SALESTABLE[[#This Row],[Quantity]]*_xlfn.XLOOKUP(SALESTABLE[[#This Row],[Product_ID]],ProductsTable[Product_ID],ProductsTable[Cost_Price],WAASIU,0,1)</f>
        <v>3964.06</v>
      </c>
      <c r="I187">
        <f>SALESTABLE[[#This Row],[Revenue]]-SALESTABLE[[#This Row],[COST]]</f>
        <v>1624.69</v>
      </c>
      <c r="J187">
        <f>SALESTABLE[[#This Row],[PROFIT]]/SALESTABLE[[#This Row],[Revenue]]*100</f>
        <v>29.070722433460077</v>
      </c>
    </row>
    <row r="188" spans="1:10" x14ac:dyDescent="0.35">
      <c r="A188" t="s">
        <v>310</v>
      </c>
      <c r="B188" s="4">
        <v>45473</v>
      </c>
      <c r="C188" t="s">
        <v>311</v>
      </c>
      <c r="D188" t="s">
        <v>11</v>
      </c>
      <c r="E188">
        <v>14</v>
      </c>
      <c r="F188">
        <v>15</v>
      </c>
      <c r="G188" cm="1">
        <f t="array" ref="G188">SALESTABLE[[#This Row],[Quantity]]*_xlfn.XLOOKUP(SALESTABLE[[#This Row],[Product_ID]],ProductsTable[Product_ID],ProductsTable[Unit_Price],WAASIU,0,1)</f>
        <v>6681.78</v>
      </c>
      <c r="H188" cm="1">
        <f t="array" ref="H188">SALESTABLE[[#This Row],[Quantity]]*_xlfn.XLOOKUP(SALESTABLE[[#This Row],[Product_ID]],ProductsTable[Product_ID],ProductsTable[Cost_Price],WAASIU,0,1)</f>
        <v>4183.7599999999993</v>
      </c>
      <c r="I188">
        <f>SALESTABLE[[#This Row],[Revenue]]-SALESTABLE[[#This Row],[COST]]</f>
        <v>2498.0200000000004</v>
      </c>
      <c r="J188">
        <f>SALESTABLE[[#This Row],[PROFIT]]/SALESTABLE[[#This Row],[Revenue]]*100</f>
        <v>37.385546965030287</v>
      </c>
    </row>
    <row r="189" spans="1:10" x14ac:dyDescent="0.35">
      <c r="A189" t="s">
        <v>312</v>
      </c>
      <c r="B189" s="4">
        <v>45275</v>
      </c>
      <c r="C189" t="s">
        <v>306</v>
      </c>
      <c r="D189" t="s">
        <v>93</v>
      </c>
      <c r="E189">
        <v>14</v>
      </c>
      <c r="F189">
        <v>10</v>
      </c>
      <c r="G189" cm="1">
        <f t="array" ref="G189">SALESTABLE[[#This Row],[Quantity]]*_xlfn.XLOOKUP(SALESTABLE[[#This Row],[Product_ID]],ProductsTable[Product_ID],ProductsTable[Unit_Price],WAASIU,0,1)</f>
        <v>2996.42</v>
      </c>
      <c r="H189" cm="1">
        <f t="array" ref="H189">SALESTABLE[[#This Row],[Quantity]]*_xlfn.XLOOKUP(SALESTABLE[[#This Row],[Product_ID]],ProductsTable[Product_ID],ProductsTable[Cost_Price],WAASIU,0,1)</f>
        <v>2193.94</v>
      </c>
      <c r="I189">
        <f>SALESTABLE[[#This Row],[Revenue]]-SALESTABLE[[#This Row],[COST]]</f>
        <v>802.48</v>
      </c>
      <c r="J189">
        <f>SALESTABLE[[#This Row],[PROFIT]]/SALESTABLE[[#This Row],[Revenue]]*100</f>
        <v>26.781292342195016</v>
      </c>
    </row>
    <row r="190" spans="1:10" x14ac:dyDescent="0.35">
      <c r="A190" t="s">
        <v>313</v>
      </c>
      <c r="B190" s="4">
        <v>44978</v>
      </c>
      <c r="C190" t="s">
        <v>83</v>
      </c>
      <c r="D190" t="s">
        <v>139</v>
      </c>
      <c r="E190">
        <v>9</v>
      </c>
      <c r="F190">
        <v>15</v>
      </c>
      <c r="G190" cm="1">
        <f t="array" ref="G190">SALESTABLE[[#This Row],[Quantity]]*_xlfn.XLOOKUP(SALESTABLE[[#This Row],[Product_ID]],ProductsTable[Product_ID],ProductsTable[Unit_Price],WAASIU,0,1)</f>
        <v>4113.99</v>
      </c>
      <c r="H190" cm="1">
        <f t="array" ref="H190">SALESTABLE[[#This Row],[Quantity]]*_xlfn.XLOOKUP(SALESTABLE[[#This Row],[Product_ID]],ProductsTable[Product_ID],ProductsTable[Cost_Price],WAASIU,0,1)</f>
        <v>2947.68</v>
      </c>
      <c r="I190">
        <f>SALESTABLE[[#This Row],[Revenue]]-SALESTABLE[[#This Row],[COST]]</f>
        <v>1166.31</v>
      </c>
      <c r="J190">
        <f>SALESTABLE[[#This Row],[PROFIT]]/SALESTABLE[[#This Row],[Revenue]]*100</f>
        <v>28.349850145479206</v>
      </c>
    </row>
    <row r="191" spans="1:10" x14ac:dyDescent="0.35">
      <c r="A191" t="s">
        <v>314</v>
      </c>
      <c r="B191" s="4">
        <v>45057</v>
      </c>
      <c r="C191" t="s">
        <v>38</v>
      </c>
      <c r="D191" t="s">
        <v>84</v>
      </c>
      <c r="E191">
        <v>15</v>
      </c>
      <c r="F191">
        <v>20</v>
      </c>
      <c r="G191" cm="1">
        <f t="array" ref="G191">SALESTABLE[[#This Row],[Quantity]]*_xlfn.XLOOKUP(SALESTABLE[[#This Row],[Product_ID]],ProductsTable[Product_ID],ProductsTable[Unit_Price],WAASIU,0,1)</f>
        <v>4033.4999999999995</v>
      </c>
      <c r="H191" cm="1">
        <f t="array" ref="H191">SALESTABLE[[#This Row],[Quantity]]*_xlfn.XLOOKUP(SALESTABLE[[#This Row],[Product_ID]],ProductsTable[Product_ID],ProductsTable[Cost_Price],WAASIU,0,1)</f>
        <v>2337.9</v>
      </c>
      <c r="I191">
        <f>SALESTABLE[[#This Row],[Revenue]]-SALESTABLE[[#This Row],[COST]]</f>
        <v>1695.5999999999995</v>
      </c>
      <c r="J191">
        <f>SALESTABLE[[#This Row],[PROFIT]]/SALESTABLE[[#This Row],[Revenue]]*100</f>
        <v>42.037932316846408</v>
      </c>
    </row>
    <row r="192" spans="1:10" x14ac:dyDescent="0.35">
      <c r="A192" t="s">
        <v>315</v>
      </c>
      <c r="B192" s="4">
        <v>45066</v>
      </c>
      <c r="C192" t="s">
        <v>223</v>
      </c>
      <c r="D192" t="s">
        <v>19</v>
      </c>
      <c r="E192">
        <v>4</v>
      </c>
      <c r="F192">
        <v>20</v>
      </c>
      <c r="G192" cm="1">
        <f t="array" ref="G192">SALESTABLE[[#This Row],[Quantity]]*_xlfn.XLOOKUP(SALESTABLE[[#This Row],[Product_ID]],ProductsTable[Product_ID],ProductsTable[Unit_Price],WAASIU,0,1)</f>
        <v>243.04</v>
      </c>
      <c r="H192" cm="1">
        <f t="array" ref="H192">SALESTABLE[[#This Row],[Quantity]]*_xlfn.XLOOKUP(SALESTABLE[[#This Row],[Product_ID]],ProductsTable[Product_ID],ProductsTable[Cost_Price],WAASIU,0,1)</f>
        <v>161.80000000000001</v>
      </c>
      <c r="I192">
        <f>SALESTABLE[[#This Row],[Revenue]]-SALESTABLE[[#This Row],[COST]]</f>
        <v>81.239999999999981</v>
      </c>
      <c r="J192">
        <f>SALESTABLE[[#This Row],[PROFIT]]/SALESTABLE[[#This Row],[Revenue]]*100</f>
        <v>33.426596445029617</v>
      </c>
    </row>
    <row r="193" spans="1:10" x14ac:dyDescent="0.35">
      <c r="A193" t="s">
        <v>316</v>
      </c>
      <c r="B193" s="4">
        <v>45084</v>
      </c>
      <c r="C193" t="s">
        <v>131</v>
      </c>
      <c r="D193" t="s">
        <v>34</v>
      </c>
      <c r="E193">
        <v>19</v>
      </c>
      <c r="F193">
        <v>5</v>
      </c>
      <c r="G193" cm="1">
        <f t="array" ref="G193">SALESTABLE[[#This Row],[Quantity]]*_xlfn.XLOOKUP(SALESTABLE[[#This Row],[Product_ID]],ProductsTable[Product_ID],ProductsTable[Unit_Price],WAASIU,0,1)</f>
        <v>6246.25</v>
      </c>
      <c r="H193" cm="1">
        <f t="array" ref="H193">SALESTABLE[[#This Row],[Quantity]]*_xlfn.XLOOKUP(SALESTABLE[[#This Row],[Product_ID]],ProductsTable[Product_ID],ProductsTable[Cost_Price],WAASIU,0,1)</f>
        <v>4430.42</v>
      </c>
      <c r="I193">
        <f>SALESTABLE[[#This Row],[Revenue]]-SALESTABLE[[#This Row],[COST]]</f>
        <v>1815.83</v>
      </c>
      <c r="J193">
        <f>SALESTABLE[[#This Row],[PROFIT]]/SALESTABLE[[#This Row],[Revenue]]*100</f>
        <v>29.070722433460073</v>
      </c>
    </row>
    <row r="194" spans="1:10" x14ac:dyDescent="0.35">
      <c r="A194" t="s">
        <v>317</v>
      </c>
      <c r="B194" s="4">
        <v>45097</v>
      </c>
      <c r="C194" t="s">
        <v>318</v>
      </c>
      <c r="D194" t="s">
        <v>49</v>
      </c>
      <c r="E194">
        <v>8</v>
      </c>
      <c r="F194">
        <v>15</v>
      </c>
      <c r="G194" cm="1">
        <f t="array" ref="G194">SALESTABLE[[#This Row],[Quantity]]*_xlfn.XLOOKUP(SALESTABLE[[#This Row],[Product_ID]],ProductsTable[Product_ID],ProductsTable[Unit_Price],WAASIU,0,1)</f>
        <v>1837.04</v>
      </c>
      <c r="H194" cm="1">
        <f t="array" ref="H194">SALESTABLE[[#This Row],[Quantity]]*_xlfn.XLOOKUP(SALESTABLE[[#This Row],[Product_ID]],ProductsTable[Product_ID],ProductsTable[Cost_Price],WAASIU,0,1)</f>
        <v>1051.3599999999999</v>
      </c>
      <c r="I194">
        <f>SALESTABLE[[#This Row],[Revenue]]-SALESTABLE[[#This Row],[COST]]</f>
        <v>785.68000000000006</v>
      </c>
      <c r="J194">
        <f>SALESTABLE[[#This Row],[PROFIT]]/SALESTABLE[[#This Row],[Revenue]]*100</f>
        <v>42.76880198580325</v>
      </c>
    </row>
    <row r="195" spans="1:10" x14ac:dyDescent="0.35">
      <c r="A195" t="s">
        <v>319</v>
      </c>
      <c r="B195" s="4">
        <v>45226</v>
      </c>
      <c r="C195" t="s">
        <v>292</v>
      </c>
      <c r="D195" t="s">
        <v>16</v>
      </c>
      <c r="E195">
        <v>8</v>
      </c>
      <c r="F195">
        <v>10</v>
      </c>
      <c r="G195" cm="1">
        <f t="array" ref="G195">SALESTABLE[[#This Row],[Quantity]]*_xlfn.XLOOKUP(SALESTABLE[[#This Row],[Product_ID]],ProductsTable[Product_ID],ProductsTable[Unit_Price],WAASIU,0,1)</f>
        <v>2897.36</v>
      </c>
      <c r="H195" cm="1">
        <f t="array" ref="H195">SALESTABLE[[#This Row],[Quantity]]*_xlfn.XLOOKUP(SALESTABLE[[#This Row],[Product_ID]],ProductsTable[Product_ID],ProductsTable[Cost_Price],WAASIU,0,1)</f>
        <v>1867.04</v>
      </c>
      <c r="I195">
        <f>SALESTABLE[[#This Row],[Revenue]]-SALESTABLE[[#This Row],[COST]]</f>
        <v>1030.3200000000002</v>
      </c>
      <c r="J195">
        <f>SALESTABLE[[#This Row],[PROFIT]]/SALESTABLE[[#This Row],[Revenue]]*100</f>
        <v>35.56064831432753</v>
      </c>
    </row>
    <row r="196" spans="1:10" x14ac:dyDescent="0.35">
      <c r="A196" t="s">
        <v>320</v>
      </c>
      <c r="B196" s="4">
        <v>45528</v>
      </c>
      <c r="C196" t="s">
        <v>184</v>
      </c>
      <c r="D196" t="s">
        <v>77</v>
      </c>
      <c r="E196">
        <v>9</v>
      </c>
      <c r="F196">
        <v>10</v>
      </c>
      <c r="G196" cm="1">
        <f t="array" ref="G196">SALESTABLE[[#This Row],[Quantity]]*_xlfn.XLOOKUP(SALESTABLE[[#This Row],[Product_ID]],ProductsTable[Product_ID],ProductsTable[Unit_Price],WAASIU,0,1)</f>
        <v>826.19999999999993</v>
      </c>
      <c r="H196" cm="1">
        <f t="array" ref="H196">SALESTABLE[[#This Row],[Quantity]]*_xlfn.XLOOKUP(SALESTABLE[[#This Row],[Product_ID]],ProductsTable[Product_ID],ProductsTable[Cost_Price],WAASIU,0,1)</f>
        <v>440.73</v>
      </c>
      <c r="I196">
        <f>SALESTABLE[[#This Row],[Revenue]]-SALESTABLE[[#This Row],[COST]]</f>
        <v>385.46999999999991</v>
      </c>
      <c r="J196">
        <f>SALESTABLE[[#This Row],[PROFIT]]/SALESTABLE[[#This Row],[Revenue]]*100</f>
        <v>46.655773420479299</v>
      </c>
    </row>
    <row r="197" spans="1:10" x14ac:dyDescent="0.35">
      <c r="A197" t="s">
        <v>321</v>
      </c>
      <c r="B197" s="4">
        <v>45052</v>
      </c>
      <c r="C197" t="s">
        <v>54</v>
      </c>
      <c r="D197" t="s">
        <v>22</v>
      </c>
      <c r="E197">
        <v>2</v>
      </c>
      <c r="F197">
        <v>0</v>
      </c>
      <c r="G197" cm="1">
        <f t="array" ref="G197">SALESTABLE[[#This Row],[Quantity]]*_xlfn.XLOOKUP(SALESTABLE[[#This Row],[Product_ID]],ProductsTable[Product_ID],ProductsTable[Unit_Price],WAASIU,0,1)</f>
        <v>839.34</v>
      </c>
      <c r="H197" cm="1">
        <f t="array" ref="H197">SALESTABLE[[#This Row],[Quantity]]*_xlfn.XLOOKUP(SALESTABLE[[#This Row],[Product_ID]],ProductsTable[Product_ID],ProductsTable[Cost_Price],WAASIU,0,1)</f>
        <v>426.84</v>
      </c>
      <c r="I197">
        <f>SALESTABLE[[#This Row],[Revenue]]-SALESTABLE[[#This Row],[COST]]</f>
        <v>412.50000000000006</v>
      </c>
      <c r="J197">
        <f>SALESTABLE[[#This Row],[PROFIT]]/SALESTABLE[[#This Row],[Revenue]]*100</f>
        <v>49.145757380799203</v>
      </c>
    </row>
    <row r="198" spans="1:10" x14ac:dyDescent="0.35">
      <c r="A198" t="s">
        <v>322</v>
      </c>
      <c r="B198" s="4">
        <v>45488</v>
      </c>
      <c r="C198" t="s">
        <v>38</v>
      </c>
      <c r="D198" t="s">
        <v>22</v>
      </c>
      <c r="E198">
        <v>19</v>
      </c>
      <c r="F198">
        <v>10</v>
      </c>
      <c r="G198" cm="1">
        <f t="array" ref="G198">SALESTABLE[[#This Row],[Quantity]]*_xlfn.XLOOKUP(SALESTABLE[[#This Row],[Product_ID]],ProductsTable[Product_ID],ProductsTable[Unit_Price],WAASIU,0,1)</f>
        <v>7973.7300000000005</v>
      </c>
      <c r="H198" cm="1">
        <f t="array" ref="H198">SALESTABLE[[#This Row],[Quantity]]*_xlfn.XLOOKUP(SALESTABLE[[#This Row],[Product_ID]],ProductsTable[Product_ID],ProductsTable[Cost_Price],WAASIU,0,1)</f>
        <v>4054.9799999999996</v>
      </c>
      <c r="I198">
        <f>SALESTABLE[[#This Row],[Revenue]]-SALESTABLE[[#This Row],[COST]]</f>
        <v>3918.7500000000009</v>
      </c>
      <c r="J198">
        <f>SALESTABLE[[#This Row],[PROFIT]]/SALESTABLE[[#This Row],[Revenue]]*100</f>
        <v>49.145757380799211</v>
      </c>
    </row>
    <row r="199" spans="1:10" x14ac:dyDescent="0.35">
      <c r="A199" t="s">
        <v>323</v>
      </c>
      <c r="B199" s="4">
        <v>44997</v>
      </c>
      <c r="C199" t="s">
        <v>270</v>
      </c>
      <c r="D199" t="s">
        <v>107</v>
      </c>
      <c r="E199">
        <v>17</v>
      </c>
      <c r="F199">
        <v>5</v>
      </c>
      <c r="G199" cm="1">
        <f t="array" ref="G199">SALESTABLE[[#This Row],[Quantity]]*_xlfn.XLOOKUP(SALESTABLE[[#This Row],[Product_ID]],ProductsTable[Product_ID],ProductsTable[Unit_Price],WAASIU,0,1)</f>
        <v>1105.17</v>
      </c>
      <c r="H199" cm="1">
        <f t="array" ref="H199">SALESTABLE[[#This Row],[Quantity]]*_xlfn.XLOOKUP(SALESTABLE[[#This Row],[Product_ID]],ProductsTable[Product_ID],ProductsTable[Cost_Price],WAASIU,0,1)</f>
        <v>626.11</v>
      </c>
      <c r="I199">
        <f>SALESTABLE[[#This Row],[Revenue]]-SALESTABLE[[#This Row],[COST]]</f>
        <v>479.06000000000006</v>
      </c>
      <c r="J199">
        <f>SALESTABLE[[#This Row],[PROFIT]]/SALESTABLE[[#This Row],[Revenue]]*100</f>
        <v>43.347177357329642</v>
      </c>
    </row>
    <row r="200" spans="1:10" x14ac:dyDescent="0.35">
      <c r="A200" t="s">
        <v>324</v>
      </c>
      <c r="B200" s="4">
        <v>45609</v>
      </c>
      <c r="C200" t="s">
        <v>136</v>
      </c>
      <c r="D200" t="s">
        <v>125</v>
      </c>
      <c r="E200">
        <v>17</v>
      </c>
      <c r="F200">
        <v>20</v>
      </c>
      <c r="G200" cm="1">
        <f t="array" ref="G200">SALESTABLE[[#This Row],[Quantity]]*_xlfn.XLOOKUP(SALESTABLE[[#This Row],[Product_ID]],ProductsTable[Product_ID],ProductsTable[Unit_Price],WAASIU,0,1)</f>
        <v>5689.9</v>
      </c>
      <c r="H200" cm="1">
        <f t="array" ref="H200">SALESTABLE[[#This Row],[Quantity]]*_xlfn.XLOOKUP(SALESTABLE[[#This Row],[Product_ID]],ProductsTable[Product_ID],ProductsTable[Cost_Price],WAASIU,0,1)</f>
        <v>4241.84</v>
      </c>
      <c r="I200">
        <f>SALESTABLE[[#This Row],[Revenue]]-SALESTABLE[[#This Row],[COST]]</f>
        <v>1448.0599999999995</v>
      </c>
      <c r="J200">
        <f>SALESTABLE[[#This Row],[PROFIT]]/SALESTABLE[[#This Row],[Revenue]]*100</f>
        <v>25.449656408724223</v>
      </c>
    </row>
    <row r="201" spans="1:10" x14ac:dyDescent="0.35">
      <c r="A201" t="s">
        <v>325</v>
      </c>
      <c r="B201" s="4">
        <v>45191</v>
      </c>
      <c r="C201" t="s">
        <v>15</v>
      </c>
      <c r="D201" t="s">
        <v>74</v>
      </c>
      <c r="E201">
        <v>18</v>
      </c>
      <c r="F201">
        <v>5</v>
      </c>
      <c r="G201" cm="1">
        <f t="array" ref="G201">SALESTABLE[[#This Row],[Quantity]]*_xlfn.XLOOKUP(SALESTABLE[[#This Row],[Product_ID]],ProductsTable[Product_ID],ProductsTable[Unit_Price],WAASIU,0,1)</f>
        <v>774</v>
      </c>
      <c r="H201" cm="1">
        <f t="array" ref="H201">SALESTABLE[[#This Row],[Quantity]]*_xlfn.XLOOKUP(SALESTABLE[[#This Row],[Product_ID]],ProductsTable[Product_ID],ProductsTable[Cost_Price],WAASIU,0,1)</f>
        <v>540.9</v>
      </c>
      <c r="I201">
        <f>SALESTABLE[[#This Row],[Revenue]]-SALESTABLE[[#This Row],[COST]]</f>
        <v>233.10000000000002</v>
      </c>
      <c r="J201">
        <f>SALESTABLE[[#This Row],[PROFIT]]/SALESTABLE[[#This Row],[Revenue]]*100</f>
        <v>30.116279069767444</v>
      </c>
    </row>
    <row r="202" spans="1:10" x14ac:dyDescent="0.35">
      <c r="A202" t="s">
        <v>326</v>
      </c>
      <c r="B202" s="4">
        <v>45287</v>
      </c>
      <c r="C202" t="s">
        <v>251</v>
      </c>
      <c r="D202" t="s">
        <v>113</v>
      </c>
      <c r="E202">
        <v>7</v>
      </c>
      <c r="F202">
        <v>20</v>
      </c>
      <c r="G202" cm="1">
        <f t="array" ref="G202">SALESTABLE[[#This Row],[Quantity]]*_xlfn.XLOOKUP(SALESTABLE[[#This Row],[Product_ID]],ProductsTable[Product_ID],ProductsTable[Unit_Price],WAASIU,0,1)</f>
        <v>2359.6299999999997</v>
      </c>
      <c r="H202" cm="1">
        <f t="array" ref="H202">SALESTABLE[[#This Row],[Quantity]]*_xlfn.XLOOKUP(SALESTABLE[[#This Row],[Product_ID]],ProductsTable[Product_ID],ProductsTable[Cost_Price],WAASIU,0,1)</f>
        <v>1304.8699999999999</v>
      </c>
      <c r="I202">
        <f>SALESTABLE[[#This Row],[Revenue]]-SALESTABLE[[#This Row],[COST]]</f>
        <v>1054.7599999999998</v>
      </c>
      <c r="J202">
        <f>SALESTABLE[[#This Row],[PROFIT]]/SALESTABLE[[#This Row],[Revenue]]*100</f>
        <v>44.700228425643004</v>
      </c>
    </row>
    <row r="203" spans="1:10" x14ac:dyDescent="0.35">
      <c r="A203" t="s">
        <v>327</v>
      </c>
      <c r="B203" s="4">
        <v>45541</v>
      </c>
      <c r="C203" t="s">
        <v>83</v>
      </c>
      <c r="D203" t="s">
        <v>133</v>
      </c>
      <c r="E203">
        <v>20</v>
      </c>
      <c r="F203">
        <v>20</v>
      </c>
      <c r="G203" cm="1">
        <f t="array" ref="G203">SALESTABLE[[#This Row],[Quantity]]*_xlfn.XLOOKUP(SALESTABLE[[#This Row],[Product_ID]],ProductsTable[Product_ID],ProductsTable[Unit_Price],WAASIU,0,1)</f>
        <v>7020</v>
      </c>
      <c r="H203" cm="1">
        <f t="array" ref="H203">SALESTABLE[[#This Row],[Quantity]]*_xlfn.XLOOKUP(SALESTABLE[[#This Row],[Product_ID]],ProductsTable[Product_ID],ProductsTable[Cost_Price],WAASIU,0,1)</f>
        <v>4672.6000000000004</v>
      </c>
      <c r="I203">
        <f>SALESTABLE[[#This Row],[Revenue]]-SALESTABLE[[#This Row],[COST]]</f>
        <v>2347.3999999999996</v>
      </c>
      <c r="J203">
        <f>SALESTABLE[[#This Row],[PROFIT]]/SALESTABLE[[#This Row],[Revenue]]*100</f>
        <v>33.438746438746435</v>
      </c>
    </row>
    <row r="204" spans="1:10" x14ac:dyDescent="0.35">
      <c r="A204" t="s">
        <v>328</v>
      </c>
      <c r="B204" s="4">
        <v>45095</v>
      </c>
      <c r="C204" t="s">
        <v>61</v>
      </c>
      <c r="D204" t="s">
        <v>77</v>
      </c>
      <c r="E204">
        <v>20</v>
      </c>
      <c r="F204">
        <v>0</v>
      </c>
      <c r="G204" cm="1">
        <f t="array" ref="G204">SALESTABLE[[#This Row],[Quantity]]*_xlfn.XLOOKUP(SALESTABLE[[#This Row],[Product_ID]],ProductsTable[Product_ID],ProductsTable[Unit_Price],WAASIU,0,1)</f>
        <v>1836</v>
      </c>
      <c r="H204" cm="1">
        <f t="array" ref="H204">SALESTABLE[[#This Row],[Quantity]]*_xlfn.XLOOKUP(SALESTABLE[[#This Row],[Product_ID]],ProductsTable[Product_ID],ProductsTable[Cost_Price],WAASIU,0,1)</f>
        <v>979.4</v>
      </c>
      <c r="I204">
        <f>SALESTABLE[[#This Row],[Revenue]]-SALESTABLE[[#This Row],[COST]]</f>
        <v>856.6</v>
      </c>
      <c r="J204">
        <f>SALESTABLE[[#This Row],[PROFIT]]/SALESTABLE[[#This Row],[Revenue]]*100</f>
        <v>46.655773420479299</v>
      </c>
    </row>
    <row r="205" spans="1:10" x14ac:dyDescent="0.35">
      <c r="A205" t="s">
        <v>329</v>
      </c>
      <c r="B205" s="4">
        <v>45122</v>
      </c>
      <c r="C205" t="s">
        <v>96</v>
      </c>
      <c r="D205" t="s">
        <v>93</v>
      </c>
      <c r="E205">
        <v>2</v>
      </c>
      <c r="F205">
        <v>10</v>
      </c>
      <c r="G205" cm="1">
        <f t="array" ref="G205">SALESTABLE[[#This Row],[Quantity]]*_xlfn.XLOOKUP(SALESTABLE[[#This Row],[Product_ID]],ProductsTable[Product_ID],ProductsTable[Unit_Price],WAASIU,0,1)</f>
        <v>428.06</v>
      </c>
      <c r="H205" cm="1">
        <f t="array" ref="H205">SALESTABLE[[#This Row],[Quantity]]*_xlfn.XLOOKUP(SALESTABLE[[#This Row],[Product_ID]],ProductsTable[Product_ID],ProductsTable[Cost_Price],WAASIU,0,1)</f>
        <v>313.42</v>
      </c>
      <c r="I205">
        <f>SALESTABLE[[#This Row],[Revenue]]-SALESTABLE[[#This Row],[COST]]</f>
        <v>114.63999999999999</v>
      </c>
      <c r="J205">
        <f>SALESTABLE[[#This Row],[PROFIT]]/SALESTABLE[[#This Row],[Revenue]]*100</f>
        <v>26.781292342195016</v>
      </c>
    </row>
    <row r="206" spans="1:10" x14ac:dyDescent="0.35">
      <c r="A206" t="s">
        <v>330</v>
      </c>
      <c r="B206" s="4">
        <v>45176</v>
      </c>
      <c r="C206" t="s">
        <v>331</v>
      </c>
      <c r="D206" t="s">
        <v>93</v>
      </c>
      <c r="E206">
        <v>12</v>
      </c>
      <c r="F206">
        <v>10</v>
      </c>
      <c r="G206" cm="1">
        <f t="array" ref="G206">SALESTABLE[[#This Row],[Quantity]]*_xlfn.XLOOKUP(SALESTABLE[[#This Row],[Product_ID]],ProductsTable[Product_ID],ProductsTable[Unit_Price],WAASIU,0,1)</f>
        <v>2568.36</v>
      </c>
      <c r="H206" cm="1">
        <f t="array" ref="H206">SALESTABLE[[#This Row],[Quantity]]*_xlfn.XLOOKUP(SALESTABLE[[#This Row],[Product_ID]],ProductsTable[Product_ID],ProductsTable[Cost_Price],WAASIU,0,1)</f>
        <v>1880.52</v>
      </c>
      <c r="I206">
        <f>SALESTABLE[[#This Row],[Revenue]]-SALESTABLE[[#This Row],[COST]]</f>
        <v>687.84000000000015</v>
      </c>
      <c r="J206">
        <f>SALESTABLE[[#This Row],[PROFIT]]/SALESTABLE[[#This Row],[Revenue]]*100</f>
        <v>26.781292342195023</v>
      </c>
    </row>
    <row r="207" spans="1:10" x14ac:dyDescent="0.35">
      <c r="A207" t="s">
        <v>332</v>
      </c>
      <c r="B207" s="4">
        <v>45361</v>
      </c>
      <c r="C207" t="s">
        <v>136</v>
      </c>
      <c r="D207" t="s">
        <v>16</v>
      </c>
      <c r="E207">
        <v>3</v>
      </c>
      <c r="F207">
        <v>5</v>
      </c>
      <c r="G207" cm="1">
        <f t="array" ref="G207">SALESTABLE[[#This Row],[Quantity]]*_xlfn.XLOOKUP(SALESTABLE[[#This Row],[Product_ID]],ProductsTable[Product_ID],ProductsTable[Unit_Price],WAASIU,0,1)</f>
        <v>1086.51</v>
      </c>
      <c r="H207" cm="1">
        <f t="array" ref="H207">SALESTABLE[[#This Row],[Quantity]]*_xlfn.XLOOKUP(SALESTABLE[[#This Row],[Product_ID]],ProductsTable[Product_ID],ProductsTable[Cost_Price],WAASIU,0,1)</f>
        <v>700.14</v>
      </c>
      <c r="I207">
        <f>SALESTABLE[[#This Row],[Revenue]]-SALESTABLE[[#This Row],[COST]]</f>
        <v>386.37</v>
      </c>
      <c r="J207">
        <f>SALESTABLE[[#This Row],[PROFIT]]/SALESTABLE[[#This Row],[Revenue]]*100</f>
        <v>35.560648314327523</v>
      </c>
    </row>
    <row r="208" spans="1:10" x14ac:dyDescent="0.35">
      <c r="A208" t="s">
        <v>333</v>
      </c>
      <c r="B208" s="4">
        <v>45309</v>
      </c>
      <c r="C208" t="s">
        <v>171</v>
      </c>
      <c r="D208" t="s">
        <v>52</v>
      </c>
      <c r="E208">
        <v>19</v>
      </c>
      <c r="F208">
        <v>5</v>
      </c>
      <c r="G208" cm="1">
        <f t="array" ref="G208">SALESTABLE[[#This Row],[Quantity]]*_xlfn.XLOOKUP(SALESTABLE[[#This Row],[Product_ID]],ProductsTable[Product_ID],ProductsTable[Unit_Price],WAASIU,0,1)</f>
        <v>3491.82</v>
      </c>
      <c r="H208" cm="1">
        <f t="array" ref="H208">SALESTABLE[[#This Row],[Quantity]]*_xlfn.XLOOKUP(SALESTABLE[[#This Row],[Product_ID]],ProductsTable[Product_ID],ProductsTable[Cost_Price],WAASIU,0,1)</f>
        <v>2196.9699999999998</v>
      </c>
      <c r="I208">
        <f>SALESTABLE[[#This Row],[Revenue]]-SALESTABLE[[#This Row],[COST]]</f>
        <v>1294.8500000000004</v>
      </c>
      <c r="J208">
        <f>SALESTABLE[[#This Row],[PROFIT]]/SALESTABLE[[#This Row],[Revenue]]*100</f>
        <v>37.082381107846345</v>
      </c>
    </row>
    <row r="209" spans="1:10" x14ac:dyDescent="0.35">
      <c r="A209" t="s">
        <v>334</v>
      </c>
      <c r="B209" s="4">
        <v>45556</v>
      </c>
      <c r="C209" t="s">
        <v>195</v>
      </c>
      <c r="D209" t="s">
        <v>248</v>
      </c>
      <c r="E209">
        <v>19</v>
      </c>
      <c r="F209">
        <v>5</v>
      </c>
      <c r="G209" cm="1">
        <f t="array" ref="G209">SALESTABLE[[#This Row],[Quantity]]*_xlfn.XLOOKUP(SALESTABLE[[#This Row],[Product_ID]],ProductsTable[Product_ID],ProductsTable[Unit_Price],WAASIU,0,1)</f>
        <v>3547.4900000000002</v>
      </c>
      <c r="H209" cm="1">
        <f t="array" ref="H209">SALESTABLE[[#This Row],[Quantity]]*_xlfn.XLOOKUP(SALESTABLE[[#This Row],[Product_ID]],ProductsTable[Product_ID],ProductsTable[Cost_Price],WAASIU,0,1)</f>
        <v>2378.61</v>
      </c>
      <c r="I209">
        <f>SALESTABLE[[#This Row],[Revenue]]-SALESTABLE[[#This Row],[COST]]</f>
        <v>1168.8800000000001</v>
      </c>
      <c r="J209">
        <f>SALESTABLE[[#This Row],[PROFIT]]/SALESTABLE[[#This Row],[Revenue]]*100</f>
        <v>32.949493867495043</v>
      </c>
    </row>
    <row r="210" spans="1:10" x14ac:dyDescent="0.35">
      <c r="A210" t="s">
        <v>335</v>
      </c>
      <c r="B210" s="4">
        <v>45411</v>
      </c>
      <c r="C210" t="s">
        <v>159</v>
      </c>
      <c r="D210" t="s">
        <v>93</v>
      </c>
      <c r="E210">
        <v>6</v>
      </c>
      <c r="F210">
        <v>5</v>
      </c>
      <c r="G210" cm="1">
        <f t="array" ref="G210">SALESTABLE[[#This Row],[Quantity]]*_xlfn.XLOOKUP(SALESTABLE[[#This Row],[Product_ID]],ProductsTable[Product_ID],ProductsTable[Unit_Price],WAASIU,0,1)</f>
        <v>1284.18</v>
      </c>
      <c r="H210" cm="1">
        <f t="array" ref="H210">SALESTABLE[[#This Row],[Quantity]]*_xlfn.XLOOKUP(SALESTABLE[[#This Row],[Product_ID]],ProductsTable[Product_ID],ProductsTable[Cost_Price],WAASIU,0,1)</f>
        <v>940.26</v>
      </c>
      <c r="I210">
        <f>SALESTABLE[[#This Row],[Revenue]]-SALESTABLE[[#This Row],[COST]]</f>
        <v>343.92000000000007</v>
      </c>
      <c r="J210">
        <f>SALESTABLE[[#This Row],[PROFIT]]/SALESTABLE[[#This Row],[Revenue]]*100</f>
        <v>26.781292342195023</v>
      </c>
    </row>
    <row r="211" spans="1:10" x14ac:dyDescent="0.35">
      <c r="A211" t="s">
        <v>336</v>
      </c>
      <c r="B211" s="4">
        <v>45350</v>
      </c>
      <c r="C211" t="s">
        <v>167</v>
      </c>
      <c r="D211" t="s">
        <v>100</v>
      </c>
      <c r="E211">
        <v>9</v>
      </c>
      <c r="F211">
        <v>0</v>
      </c>
      <c r="G211" cm="1">
        <f t="array" ref="G211">SALESTABLE[[#This Row],[Quantity]]*_xlfn.XLOOKUP(SALESTABLE[[#This Row],[Product_ID]],ProductsTable[Product_ID],ProductsTable[Unit_Price],WAASIU,0,1)</f>
        <v>3683.88</v>
      </c>
      <c r="H211" cm="1">
        <f t="array" ref="H211">SALESTABLE[[#This Row],[Quantity]]*_xlfn.XLOOKUP(SALESTABLE[[#This Row],[Product_ID]],ProductsTable[Product_ID],ProductsTable[Cost_Price],WAASIU,0,1)</f>
        <v>1913.8500000000001</v>
      </c>
      <c r="I211">
        <f>SALESTABLE[[#This Row],[Revenue]]-SALESTABLE[[#This Row],[COST]]</f>
        <v>1770.03</v>
      </c>
      <c r="J211">
        <f>SALESTABLE[[#This Row],[PROFIT]]/SALESTABLE[[#This Row],[Revenue]]*100</f>
        <v>48.047982018958265</v>
      </c>
    </row>
    <row r="212" spans="1:10" x14ac:dyDescent="0.35">
      <c r="A212" t="s">
        <v>337</v>
      </c>
      <c r="B212" s="4">
        <v>45052</v>
      </c>
      <c r="C212" t="s">
        <v>284</v>
      </c>
      <c r="D212" t="s">
        <v>13</v>
      </c>
      <c r="E212">
        <v>20</v>
      </c>
      <c r="F212">
        <v>5</v>
      </c>
      <c r="G212" cm="1">
        <f t="array" ref="G212">SALESTABLE[[#This Row],[Quantity]]*_xlfn.XLOOKUP(SALESTABLE[[#This Row],[Product_ID]],ProductsTable[Product_ID],ProductsTable[Unit_Price],WAASIU,0,1)</f>
        <v>8703.6</v>
      </c>
      <c r="H212" cm="1">
        <f t="array" ref="H212">SALESTABLE[[#This Row],[Quantity]]*_xlfn.XLOOKUP(SALESTABLE[[#This Row],[Product_ID]],ProductsTable[Product_ID],ProductsTable[Cost_Price],WAASIU,0,1)</f>
        <v>4619</v>
      </c>
      <c r="I212">
        <f>SALESTABLE[[#This Row],[Revenue]]-SALESTABLE[[#This Row],[COST]]</f>
        <v>4084.6000000000004</v>
      </c>
      <c r="J212">
        <f>SALESTABLE[[#This Row],[PROFIT]]/SALESTABLE[[#This Row],[Revenue]]*100</f>
        <v>46.930005974539277</v>
      </c>
    </row>
    <row r="213" spans="1:10" x14ac:dyDescent="0.35">
      <c r="A213" t="s">
        <v>338</v>
      </c>
      <c r="B213" s="4">
        <v>44999</v>
      </c>
      <c r="C213" t="s">
        <v>102</v>
      </c>
      <c r="D213" t="s">
        <v>137</v>
      </c>
      <c r="E213">
        <v>14</v>
      </c>
      <c r="F213">
        <v>15</v>
      </c>
      <c r="G213" cm="1">
        <f t="array" ref="G213">SALESTABLE[[#This Row],[Quantity]]*_xlfn.XLOOKUP(SALESTABLE[[#This Row],[Product_ID]],ProductsTable[Product_ID],ProductsTable[Unit_Price],WAASIU,0,1)</f>
        <v>5088.16</v>
      </c>
      <c r="H213" cm="1">
        <f t="array" ref="H213">SALESTABLE[[#This Row],[Quantity]]*_xlfn.XLOOKUP(SALESTABLE[[#This Row],[Product_ID]],ProductsTable[Product_ID],ProductsTable[Cost_Price],WAASIU,0,1)</f>
        <v>3500.7000000000003</v>
      </c>
      <c r="I213">
        <f>SALESTABLE[[#This Row],[Revenue]]-SALESTABLE[[#This Row],[COST]]</f>
        <v>1587.4599999999996</v>
      </c>
      <c r="J213">
        <f>SALESTABLE[[#This Row],[PROFIT]]/SALESTABLE[[#This Row],[Revenue]]*100</f>
        <v>31.199097512656827</v>
      </c>
    </row>
    <row r="214" spans="1:10" x14ac:dyDescent="0.35">
      <c r="A214" t="s">
        <v>339</v>
      </c>
      <c r="B214" s="4">
        <v>45260</v>
      </c>
      <c r="C214" t="s">
        <v>146</v>
      </c>
      <c r="D214" t="s">
        <v>41</v>
      </c>
      <c r="E214">
        <v>14</v>
      </c>
      <c r="F214">
        <v>5</v>
      </c>
      <c r="G214" cm="1">
        <f t="array" ref="G214">SALESTABLE[[#This Row],[Quantity]]*_xlfn.XLOOKUP(SALESTABLE[[#This Row],[Product_ID]],ProductsTable[Product_ID],ProductsTable[Unit_Price],WAASIU,0,1)</f>
        <v>5960.5</v>
      </c>
      <c r="H214" cm="1">
        <f t="array" ref="H214">SALESTABLE[[#This Row],[Quantity]]*_xlfn.XLOOKUP(SALESTABLE[[#This Row],[Product_ID]],ProductsTable[Product_ID],ProductsTable[Cost_Price],WAASIU,0,1)</f>
        <v>3403.8199999999997</v>
      </c>
      <c r="I214">
        <f>SALESTABLE[[#This Row],[Revenue]]-SALESTABLE[[#This Row],[COST]]</f>
        <v>2556.6800000000003</v>
      </c>
      <c r="J214">
        <f>SALESTABLE[[#This Row],[PROFIT]]/SALESTABLE[[#This Row],[Revenue]]*100</f>
        <v>42.89371697005285</v>
      </c>
    </row>
    <row r="215" spans="1:10" x14ac:dyDescent="0.35">
      <c r="A215" t="s">
        <v>340</v>
      </c>
      <c r="B215" s="4">
        <v>45310</v>
      </c>
      <c r="C215" t="s">
        <v>27</v>
      </c>
      <c r="D215" t="s">
        <v>41</v>
      </c>
      <c r="E215">
        <v>7</v>
      </c>
      <c r="F215">
        <v>20</v>
      </c>
      <c r="G215" cm="1">
        <f t="array" ref="G215">SALESTABLE[[#This Row],[Quantity]]*_xlfn.XLOOKUP(SALESTABLE[[#This Row],[Product_ID]],ProductsTable[Product_ID],ProductsTable[Unit_Price],WAASIU,0,1)</f>
        <v>2980.25</v>
      </c>
      <c r="H215" cm="1">
        <f t="array" ref="H215">SALESTABLE[[#This Row],[Quantity]]*_xlfn.XLOOKUP(SALESTABLE[[#This Row],[Product_ID]],ProductsTable[Product_ID],ProductsTable[Cost_Price],WAASIU,0,1)</f>
        <v>1701.9099999999999</v>
      </c>
      <c r="I215">
        <f>SALESTABLE[[#This Row],[Revenue]]-SALESTABLE[[#This Row],[COST]]</f>
        <v>1278.3400000000001</v>
      </c>
      <c r="J215">
        <f>SALESTABLE[[#This Row],[PROFIT]]/SALESTABLE[[#This Row],[Revenue]]*100</f>
        <v>42.89371697005285</v>
      </c>
    </row>
    <row r="216" spans="1:10" x14ac:dyDescent="0.35">
      <c r="A216" t="s">
        <v>341</v>
      </c>
      <c r="B216" s="4">
        <v>45397</v>
      </c>
      <c r="C216" t="s">
        <v>274</v>
      </c>
      <c r="D216" t="s">
        <v>113</v>
      </c>
      <c r="E216">
        <v>15</v>
      </c>
      <c r="F216">
        <v>10</v>
      </c>
      <c r="G216" cm="1">
        <f t="array" ref="G216">SALESTABLE[[#This Row],[Quantity]]*_xlfn.XLOOKUP(SALESTABLE[[#This Row],[Product_ID]],ProductsTable[Product_ID],ProductsTable[Unit_Price],WAASIU,0,1)</f>
        <v>5056.3499999999995</v>
      </c>
      <c r="H216" cm="1">
        <f t="array" ref="H216">SALESTABLE[[#This Row],[Quantity]]*_xlfn.XLOOKUP(SALESTABLE[[#This Row],[Product_ID]],ProductsTable[Product_ID],ProductsTable[Cost_Price],WAASIU,0,1)</f>
        <v>2796.15</v>
      </c>
      <c r="I216">
        <f>SALESTABLE[[#This Row],[Revenue]]-SALESTABLE[[#This Row],[COST]]</f>
        <v>2260.1999999999994</v>
      </c>
      <c r="J216">
        <f>SALESTABLE[[#This Row],[PROFIT]]/SALESTABLE[[#This Row],[Revenue]]*100</f>
        <v>44.700228425642997</v>
      </c>
    </row>
    <row r="217" spans="1:10" x14ac:dyDescent="0.35">
      <c r="A217" t="s">
        <v>342</v>
      </c>
      <c r="B217" s="4">
        <v>45427</v>
      </c>
      <c r="C217" t="s">
        <v>129</v>
      </c>
      <c r="D217" t="s">
        <v>25</v>
      </c>
      <c r="E217">
        <v>14</v>
      </c>
      <c r="F217">
        <v>10</v>
      </c>
      <c r="G217" cm="1">
        <f t="array" ref="G217">SALESTABLE[[#This Row],[Quantity]]*_xlfn.XLOOKUP(SALESTABLE[[#This Row],[Product_ID]],ProductsTable[Product_ID],ProductsTable[Unit_Price],WAASIU,0,1)</f>
        <v>2488.64</v>
      </c>
      <c r="H217" cm="1">
        <f t="array" ref="H217">SALESTABLE[[#This Row],[Quantity]]*_xlfn.XLOOKUP(SALESTABLE[[#This Row],[Product_ID]],ProductsTable[Product_ID],ProductsTable[Cost_Price],WAASIU,0,1)</f>
        <v>1286.32</v>
      </c>
      <c r="I217">
        <f>SALESTABLE[[#This Row],[Revenue]]-SALESTABLE[[#This Row],[COST]]</f>
        <v>1202.32</v>
      </c>
      <c r="J217">
        <f>SALESTABLE[[#This Row],[PROFIT]]/SALESTABLE[[#This Row],[Revenue]]*100</f>
        <v>48.312331233123309</v>
      </c>
    </row>
    <row r="218" spans="1:10" x14ac:dyDescent="0.35">
      <c r="A218" t="s">
        <v>343</v>
      </c>
      <c r="B218" s="4">
        <v>45599</v>
      </c>
      <c r="C218" t="s">
        <v>149</v>
      </c>
      <c r="D218" t="s">
        <v>34</v>
      </c>
      <c r="E218">
        <v>10</v>
      </c>
      <c r="F218">
        <v>15</v>
      </c>
      <c r="G218" cm="1">
        <f t="array" ref="G218">SALESTABLE[[#This Row],[Quantity]]*_xlfn.XLOOKUP(SALESTABLE[[#This Row],[Product_ID]],ProductsTable[Product_ID],ProductsTable[Unit_Price],WAASIU,0,1)</f>
        <v>3287.5</v>
      </c>
      <c r="H218" cm="1">
        <f t="array" ref="H218">SALESTABLE[[#This Row],[Quantity]]*_xlfn.XLOOKUP(SALESTABLE[[#This Row],[Product_ID]],ProductsTable[Product_ID],ProductsTable[Cost_Price],WAASIU,0,1)</f>
        <v>2331.8000000000002</v>
      </c>
      <c r="I218">
        <f>SALESTABLE[[#This Row],[Revenue]]-SALESTABLE[[#This Row],[COST]]</f>
        <v>955.69999999999982</v>
      </c>
      <c r="J218">
        <f>SALESTABLE[[#This Row],[PROFIT]]/SALESTABLE[[#This Row],[Revenue]]*100</f>
        <v>29.070722433460073</v>
      </c>
    </row>
    <row r="219" spans="1:10" x14ac:dyDescent="0.35">
      <c r="A219" t="s">
        <v>344</v>
      </c>
      <c r="B219" s="4">
        <v>45336</v>
      </c>
      <c r="C219" t="s">
        <v>251</v>
      </c>
      <c r="D219" t="s">
        <v>41</v>
      </c>
      <c r="E219">
        <v>20</v>
      </c>
      <c r="F219">
        <v>20</v>
      </c>
      <c r="G219" cm="1">
        <f t="array" ref="G219">SALESTABLE[[#This Row],[Quantity]]*_xlfn.XLOOKUP(SALESTABLE[[#This Row],[Product_ID]],ProductsTable[Product_ID],ProductsTable[Unit_Price],WAASIU,0,1)</f>
        <v>8515</v>
      </c>
      <c r="H219" cm="1">
        <f t="array" ref="H219">SALESTABLE[[#This Row],[Quantity]]*_xlfn.XLOOKUP(SALESTABLE[[#This Row],[Product_ID]],ProductsTable[Product_ID],ProductsTable[Cost_Price],WAASIU,0,1)</f>
        <v>4862.6000000000004</v>
      </c>
      <c r="I219">
        <f>SALESTABLE[[#This Row],[Revenue]]-SALESTABLE[[#This Row],[COST]]</f>
        <v>3652.3999999999996</v>
      </c>
      <c r="J219">
        <f>SALESTABLE[[#This Row],[PROFIT]]/SALESTABLE[[#This Row],[Revenue]]*100</f>
        <v>42.893716970052843</v>
      </c>
    </row>
    <row r="220" spans="1:10" x14ac:dyDescent="0.35">
      <c r="A220" t="s">
        <v>345</v>
      </c>
      <c r="B220" s="4">
        <v>45592</v>
      </c>
      <c r="C220" t="s">
        <v>229</v>
      </c>
      <c r="D220" t="s">
        <v>139</v>
      </c>
      <c r="E220">
        <v>17</v>
      </c>
      <c r="F220">
        <v>5</v>
      </c>
      <c r="G220" cm="1">
        <f t="array" ref="G220">SALESTABLE[[#This Row],[Quantity]]*_xlfn.XLOOKUP(SALESTABLE[[#This Row],[Product_ID]],ProductsTable[Product_ID],ProductsTable[Unit_Price],WAASIU,0,1)</f>
        <v>7770.87</v>
      </c>
      <c r="H220" cm="1">
        <f t="array" ref="H220">SALESTABLE[[#This Row],[Quantity]]*_xlfn.XLOOKUP(SALESTABLE[[#This Row],[Product_ID]],ProductsTable[Product_ID],ProductsTable[Cost_Price],WAASIU,0,1)</f>
        <v>5567.84</v>
      </c>
      <c r="I220">
        <f>SALESTABLE[[#This Row],[Revenue]]-SALESTABLE[[#This Row],[COST]]</f>
        <v>2203.0299999999997</v>
      </c>
      <c r="J220">
        <f>SALESTABLE[[#This Row],[PROFIT]]/SALESTABLE[[#This Row],[Revenue]]*100</f>
        <v>28.349850145479206</v>
      </c>
    </row>
    <row r="221" spans="1:10" x14ac:dyDescent="0.35">
      <c r="A221" t="s">
        <v>346</v>
      </c>
      <c r="B221" s="4">
        <v>45536</v>
      </c>
      <c r="C221" t="s">
        <v>129</v>
      </c>
      <c r="D221" t="s">
        <v>127</v>
      </c>
      <c r="E221">
        <v>10</v>
      </c>
      <c r="F221">
        <v>15</v>
      </c>
      <c r="G221" cm="1">
        <f t="array" ref="G221">SALESTABLE[[#This Row],[Quantity]]*_xlfn.XLOOKUP(SALESTABLE[[#This Row],[Product_ID]],ProductsTable[Product_ID],ProductsTable[Unit_Price],WAASIU,0,1)</f>
        <v>920.69999999999993</v>
      </c>
      <c r="H221" cm="1">
        <f t="array" ref="H221">SALESTABLE[[#This Row],[Quantity]]*_xlfn.XLOOKUP(SALESTABLE[[#This Row],[Product_ID]],ProductsTable[Product_ID],ProductsTable[Cost_Price],WAASIU,0,1)</f>
        <v>563.6</v>
      </c>
      <c r="I221">
        <f>SALESTABLE[[#This Row],[Revenue]]-SALESTABLE[[#This Row],[COST]]</f>
        <v>357.09999999999991</v>
      </c>
      <c r="J221">
        <f>SALESTABLE[[#This Row],[PROFIT]]/SALESTABLE[[#This Row],[Revenue]]*100</f>
        <v>38.785706527642006</v>
      </c>
    </row>
    <row r="222" spans="1:10" x14ac:dyDescent="0.35">
      <c r="A222" t="s">
        <v>347</v>
      </c>
      <c r="B222" s="4">
        <v>45002</v>
      </c>
      <c r="C222" t="s">
        <v>348</v>
      </c>
      <c r="D222" t="s">
        <v>16</v>
      </c>
      <c r="E222">
        <v>16</v>
      </c>
      <c r="F222">
        <v>10</v>
      </c>
      <c r="G222" cm="1">
        <f t="array" ref="G222">SALESTABLE[[#This Row],[Quantity]]*_xlfn.XLOOKUP(SALESTABLE[[#This Row],[Product_ID]],ProductsTable[Product_ID],ProductsTable[Unit_Price],WAASIU,0,1)</f>
        <v>5794.72</v>
      </c>
      <c r="H222" cm="1">
        <f t="array" ref="H222">SALESTABLE[[#This Row],[Quantity]]*_xlfn.XLOOKUP(SALESTABLE[[#This Row],[Product_ID]],ProductsTable[Product_ID],ProductsTable[Cost_Price],WAASIU,0,1)</f>
        <v>3734.08</v>
      </c>
      <c r="I222">
        <f>SALESTABLE[[#This Row],[Revenue]]-SALESTABLE[[#This Row],[COST]]</f>
        <v>2060.6400000000003</v>
      </c>
      <c r="J222">
        <f>SALESTABLE[[#This Row],[PROFIT]]/SALESTABLE[[#This Row],[Revenue]]*100</f>
        <v>35.56064831432753</v>
      </c>
    </row>
    <row r="223" spans="1:10" x14ac:dyDescent="0.35">
      <c r="A223" t="s">
        <v>349</v>
      </c>
      <c r="B223" s="4">
        <v>45603</v>
      </c>
      <c r="C223" t="s">
        <v>92</v>
      </c>
      <c r="D223" t="s">
        <v>74</v>
      </c>
      <c r="E223">
        <v>3</v>
      </c>
      <c r="F223">
        <v>15</v>
      </c>
      <c r="G223" cm="1">
        <f t="array" ref="G223">SALESTABLE[[#This Row],[Quantity]]*_xlfn.XLOOKUP(SALESTABLE[[#This Row],[Product_ID]],ProductsTable[Product_ID],ProductsTable[Unit_Price],WAASIU,0,1)</f>
        <v>129</v>
      </c>
      <c r="H223" cm="1">
        <f t="array" ref="H223">SALESTABLE[[#This Row],[Quantity]]*_xlfn.XLOOKUP(SALESTABLE[[#This Row],[Product_ID]],ProductsTable[Product_ID],ProductsTable[Cost_Price],WAASIU,0,1)</f>
        <v>90.15</v>
      </c>
      <c r="I223">
        <f>SALESTABLE[[#This Row],[Revenue]]-SALESTABLE[[#This Row],[COST]]</f>
        <v>38.849999999999994</v>
      </c>
      <c r="J223">
        <f>SALESTABLE[[#This Row],[PROFIT]]/SALESTABLE[[#This Row],[Revenue]]*100</f>
        <v>30.116279069767437</v>
      </c>
    </row>
    <row r="224" spans="1:10" x14ac:dyDescent="0.35">
      <c r="A224" t="s">
        <v>350</v>
      </c>
      <c r="B224" s="4">
        <v>45086</v>
      </c>
      <c r="C224" t="s">
        <v>161</v>
      </c>
      <c r="D224" t="s">
        <v>49</v>
      </c>
      <c r="E224">
        <v>5</v>
      </c>
      <c r="F224">
        <v>0</v>
      </c>
      <c r="G224" cm="1">
        <f t="array" ref="G224">SALESTABLE[[#This Row],[Quantity]]*_xlfn.XLOOKUP(SALESTABLE[[#This Row],[Product_ID]],ProductsTable[Product_ID],ProductsTable[Unit_Price],WAASIU,0,1)</f>
        <v>1148.1500000000001</v>
      </c>
      <c r="H224" cm="1">
        <f t="array" ref="H224">SALESTABLE[[#This Row],[Quantity]]*_xlfn.XLOOKUP(SALESTABLE[[#This Row],[Product_ID]],ProductsTable[Product_ID],ProductsTable[Cost_Price],WAASIU,0,1)</f>
        <v>657.09999999999991</v>
      </c>
      <c r="I224">
        <f>SALESTABLE[[#This Row],[Revenue]]-SALESTABLE[[#This Row],[COST]]</f>
        <v>491.05000000000018</v>
      </c>
      <c r="J224">
        <f>SALESTABLE[[#This Row],[PROFIT]]/SALESTABLE[[#This Row],[Revenue]]*100</f>
        <v>42.768801985803265</v>
      </c>
    </row>
    <row r="225" spans="1:10" x14ac:dyDescent="0.35">
      <c r="A225" t="s">
        <v>351</v>
      </c>
      <c r="B225" s="4">
        <v>45136</v>
      </c>
      <c r="C225" t="s">
        <v>352</v>
      </c>
      <c r="D225" t="s">
        <v>57</v>
      </c>
      <c r="E225">
        <v>5</v>
      </c>
      <c r="F225">
        <v>10</v>
      </c>
      <c r="G225" cm="1">
        <f t="array" ref="G225">SALESTABLE[[#This Row],[Quantity]]*_xlfn.XLOOKUP(SALESTABLE[[#This Row],[Product_ID]],ProductsTable[Product_ID],ProductsTable[Unit_Price],WAASIU,0,1)</f>
        <v>794.15000000000009</v>
      </c>
      <c r="H225" cm="1">
        <f t="array" ref="H225">SALESTABLE[[#This Row],[Quantity]]*_xlfn.XLOOKUP(SALESTABLE[[#This Row],[Product_ID]],ProductsTable[Product_ID],ProductsTable[Cost_Price],WAASIU,0,1)</f>
        <v>634.70000000000005</v>
      </c>
      <c r="I225">
        <f>SALESTABLE[[#This Row],[Revenue]]-SALESTABLE[[#This Row],[COST]]</f>
        <v>159.45000000000005</v>
      </c>
      <c r="J225">
        <f>SALESTABLE[[#This Row],[PROFIT]]/SALESTABLE[[#This Row],[Revenue]]*100</f>
        <v>20.07807089340805</v>
      </c>
    </row>
    <row r="226" spans="1:10" x14ac:dyDescent="0.35">
      <c r="A226" t="s">
        <v>353</v>
      </c>
      <c r="B226" s="4">
        <v>45266</v>
      </c>
      <c r="C226" t="s">
        <v>122</v>
      </c>
      <c r="D226" t="s">
        <v>31</v>
      </c>
      <c r="E226">
        <v>6</v>
      </c>
      <c r="F226">
        <v>5</v>
      </c>
      <c r="G226" cm="1">
        <f t="array" ref="G226">SALESTABLE[[#This Row],[Quantity]]*_xlfn.XLOOKUP(SALESTABLE[[#This Row],[Product_ID]],ProductsTable[Product_ID],ProductsTable[Unit_Price],WAASIU,0,1)</f>
        <v>1038.8399999999999</v>
      </c>
      <c r="H226" cm="1">
        <f t="array" ref="H226">SALESTABLE[[#This Row],[Quantity]]*_xlfn.XLOOKUP(SALESTABLE[[#This Row],[Product_ID]],ProductsTable[Product_ID],ProductsTable[Cost_Price],WAASIU,0,1)</f>
        <v>601.74</v>
      </c>
      <c r="I226">
        <f>SALESTABLE[[#This Row],[Revenue]]-SALESTABLE[[#This Row],[COST]]</f>
        <v>437.09999999999991</v>
      </c>
      <c r="J226">
        <f>SALESTABLE[[#This Row],[PROFIT]]/SALESTABLE[[#This Row],[Revenue]]*100</f>
        <v>42.075776828000457</v>
      </c>
    </row>
    <row r="227" spans="1:10" x14ac:dyDescent="0.35">
      <c r="A227" t="s">
        <v>354</v>
      </c>
      <c r="B227" s="4">
        <v>45522</v>
      </c>
      <c r="C227" t="s">
        <v>129</v>
      </c>
      <c r="D227" t="s">
        <v>74</v>
      </c>
      <c r="E227">
        <v>12</v>
      </c>
      <c r="F227">
        <v>10</v>
      </c>
      <c r="G227" cm="1">
        <f t="array" ref="G227">SALESTABLE[[#This Row],[Quantity]]*_xlfn.XLOOKUP(SALESTABLE[[#This Row],[Product_ID]],ProductsTable[Product_ID],ProductsTable[Unit_Price],WAASIU,0,1)</f>
        <v>516</v>
      </c>
      <c r="H227" cm="1">
        <f t="array" ref="H227">SALESTABLE[[#This Row],[Quantity]]*_xlfn.XLOOKUP(SALESTABLE[[#This Row],[Product_ID]],ProductsTable[Product_ID],ProductsTable[Cost_Price],WAASIU,0,1)</f>
        <v>360.6</v>
      </c>
      <c r="I227">
        <f>SALESTABLE[[#This Row],[Revenue]]-SALESTABLE[[#This Row],[COST]]</f>
        <v>155.39999999999998</v>
      </c>
      <c r="J227">
        <f>SALESTABLE[[#This Row],[PROFIT]]/SALESTABLE[[#This Row],[Revenue]]*100</f>
        <v>30.116279069767437</v>
      </c>
    </row>
    <row r="228" spans="1:10" x14ac:dyDescent="0.35">
      <c r="A228" t="s">
        <v>355</v>
      </c>
      <c r="B228" s="4">
        <v>45003</v>
      </c>
      <c r="C228" t="s">
        <v>356</v>
      </c>
      <c r="D228" t="s">
        <v>100</v>
      </c>
      <c r="E228">
        <v>6</v>
      </c>
      <c r="F228">
        <v>0</v>
      </c>
      <c r="G228" cm="1">
        <f t="array" ref="G228">SALESTABLE[[#This Row],[Quantity]]*_xlfn.XLOOKUP(SALESTABLE[[#This Row],[Product_ID]],ProductsTable[Product_ID],ProductsTable[Unit_Price],WAASIU,0,1)</f>
        <v>2455.92</v>
      </c>
      <c r="H228" cm="1">
        <f t="array" ref="H228">SALESTABLE[[#This Row],[Quantity]]*_xlfn.XLOOKUP(SALESTABLE[[#This Row],[Product_ID]],ProductsTable[Product_ID],ProductsTable[Cost_Price],WAASIU,0,1)</f>
        <v>1275.9000000000001</v>
      </c>
      <c r="I228">
        <f>SALESTABLE[[#This Row],[Revenue]]-SALESTABLE[[#This Row],[COST]]</f>
        <v>1180.02</v>
      </c>
      <c r="J228">
        <f>SALESTABLE[[#This Row],[PROFIT]]/SALESTABLE[[#This Row],[Revenue]]*100</f>
        <v>48.047982018958265</v>
      </c>
    </row>
    <row r="229" spans="1:10" x14ac:dyDescent="0.35">
      <c r="A229" t="s">
        <v>357</v>
      </c>
      <c r="B229" s="4">
        <v>44992</v>
      </c>
      <c r="C229" t="s">
        <v>92</v>
      </c>
      <c r="D229" t="s">
        <v>19</v>
      </c>
      <c r="E229">
        <v>6</v>
      </c>
      <c r="F229">
        <v>5</v>
      </c>
      <c r="G229" cm="1">
        <f t="array" ref="G229">SALESTABLE[[#This Row],[Quantity]]*_xlfn.XLOOKUP(SALESTABLE[[#This Row],[Product_ID]],ProductsTable[Product_ID],ProductsTable[Unit_Price],WAASIU,0,1)</f>
        <v>364.56</v>
      </c>
      <c r="H229" cm="1">
        <f t="array" ref="H229">SALESTABLE[[#This Row],[Quantity]]*_xlfn.XLOOKUP(SALESTABLE[[#This Row],[Product_ID]],ProductsTable[Product_ID],ProductsTable[Cost_Price],WAASIU,0,1)</f>
        <v>242.70000000000002</v>
      </c>
      <c r="I229">
        <f>SALESTABLE[[#This Row],[Revenue]]-SALESTABLE[[#This Row],[COST]]</f>
        <v>121.85999999999999</v>
      </c>
      <c r="J229">
        <f>SALESTABLE[[#This Row],[PROFIT]]/SALESTABLE[[#This Row],[Revenue]]*100</f>
        <v>33.426596445029624</v>
      </c>
    </row>
    <row r="230" spans="1:10" x14ac:dyDescent="0.35">
      <c r="A230" t="s">
        <v>358</v>
      </c>
      <c r="B230" s="4">
        <v>45602</v>
      </c>
      <c r="C230" t="s">
        <v>88</v>
      </c>
      <c r="D230" t="s">
        <v>28</v>
      </c>
      <c r="E230">
        <v>18</v>
      </c>
      <c r="F230">
        <v>15</v>
      </c>
      <c r="G230" cm="1">
        <f t="array" ref="G230">SALESTABLE[[#This Row],[Quantity]]*_xlfn.XLOOKUP(SALESTABLE[[#This Row],[Product_ID]],ProductsTable[Product_ID],ProductsTable[Unit_Price],WAASIU,0,1)</f>
        <v>7658.64</v>
      </c>
      <c r="H230" cm="1">
        <f t="array" ref="H230">SALESTABLE[[#This Row],[Quantity]]*_xlfn.XLOOKUP(SALESTABLE[[#This Row],[Product_ID]],ProductsTable[Product_ID],ProductsTable[Cost_Price],WAASIU,0,1)</f>
        <v>4202.6399999999994</v>
      </c>
      <c r="I230">
        <f>SALESTABLE[[#This Row],[Revenue]]-SALESTABLE[[#This Row],[COST]]</f>
        <v>3456.0000000000009</v>
      </c>
      <c r="J230">
        <f>SALESTABLE[[#This Row],[PROFIT]]/SALESTABLE[[#This Row],[Revenue]]*100</f>
        <v>45.125505311648027</v>
      </c>
    </row>
    <row r="231" spans="1:10" x14ac:dyDescent="0.35">
      <c r="A231" t="s">
        <v>359</v>
      </c>
      <c r="B231" s="4">
        <v>45423</v>
      </c>
      <c r="C231" t="s">
        <v>24</v>
      </c>
      <c r="D231" t="s">
        <v>52</v>
      </c>
      <c r="E231">
        <v>13</v>
      </c>
      <c r="F231">
        <v>5</v>
      </c>
      <c r="G231" cm="1">
        <f t="array" ref="G231">SALESTABLE[[#This Row],[Quantity]]*_xlfn.XLOOKUP(SALESTABLE[[#This Row],[Product_ID]],ProductsTable[Product_ID],ProductsTable[Unit_Price],WAASIU,0,1)</f>
        <v>2389.14</v>
      </c>
      <c r="H231" cm="1">
        <f t="array" ref="H231">SALESTABLE[[#This Row],[Quantity]]*_xlfn.XLOOKUP(SALESTABLE[[#This Row],[Product_ID]],ProductsTable[Product_ID],ProductsTable[Cost_Price],WAASIU,0,1)</f>
        <v>1503.19</v>
      </c>
      <c r="I231">
        <f>SALESTABLE[[#This Row],[Revenue]]-SALESTABLE[[#This Row],[COST]]</f>
        <v>885.94999999999982</v>
      </c>
      <c r="J231">
        <f>SALESTABLE[[#This Row],[PROFIT]]/SALESTABLE[[#This Row],[Revenue]]*100</f>
        <v>37.082381107846338</v>
      </c>
    </row>
    <row r="232" spans="1:10" x14ac:dyDescent="0.35">
      <c r="A232" t="s">
        <v>360</v>
      </c>
      <c r="B232" s="4">
        <v>45486</v>
      </c>
      <c r="C232" t="s">
        <v>154</v>
      </c>
      <c r="D232" t="s">
        <v>8</v>
      </c>
      <c r="E232">
        <v>7</v>
      </c>
      <c r="F232">
        <v>15</v>
      </c>
      <c r="G232" cm="1">
        <f t="array" ref="G232">SALESTABLE[[#This Row],[Quantity]]*_xlfn.XLOOKUP(SALESTABLE[[#This Row],[Product_ID]],ProductsTable[Product_ID],ProductsTable[Unit_Price],WAASIU,0,1)</f>
        <v>2354.2399999999998</v>
      </c>
      <c r="H232" cm="1">
        <f t="array" ref="H232">SALESTABLE[[#This Row],[Quantity]]*_xlfn.XLOOKUP(SALESTABLE[[#This Row],[Product_ID]],ProductsTable[Product_ID],ProductsTable[Cost_Price],WAASIU,0,1)</f>
        <v>1594.46</v>
      </c>
      <c r="I232">
        <f>SALESTABLE[[#This Row],[Revenue]]-SALESTABLE[[#This Row],[COST]]</f>
        <v>759.77999999999975</v>
      </c>
      <c r="J232">
        <f>SALESTABLE[[#This Row],[PROFIT]]/SALESTABLE[[#This Row],[Revenue]]*100</f>
        <v>32.272835394862028</v>
      </c>
    </row>
    <row r="233" spans="1:10" x14ac:dyDescent="0.35">
      <c r="A233" t="s">
        <v>361</v>
      </c>
      <c r="B233" s="4">
        <v>45455</v>
      </c>
      <c r="C233" t="s">
        <v>120</v>
      </c>
      <c r="D233" t="s">
        <v>25</v>
      </c>
      <c r="E233">
        <v>9</v>
      </c>
      <c r="F233">
        <v>5</v>
      </c>
      <c r="G233" cm="1">
        <f t="array" ref="G233">SALESTABLE[[#This Row],[Quantity]]*_xlfn.XLOOKUP(SALESTABLE[[#This Row],[Product_ID]],ProductsTable[Product_ID],ProductsTable[Unit_Price],WAASIU,0,1)</f>
        <v>1599.84</v>
      </c>
      <c r="H233" cm="1">
        <f t="array" ref="H233">SALESTABLE[[#This Row],[Quantity]]*_xlfn.XLOOKUP(SALESTABLE[[#This Row],[Product_ID]],ProductsTable[Product_ID],ProductsTable[Cost_Price],WAASIU,0,1)</f>
        <v>826.92</v>
      </c>
      <c r="I233">
        <f>SALESTABLE[[#This Row],[Revenue]]-SALESTABLE[[#This Row],[COST]]</f>
        <v>772.92</v>
      </c>
      <c r="J233">
        <f>SALESTABLE[[#This Row],[PROFIT]]/SALESTABLE[[#This Row],[Revenue]]*100</f>
        <v>48.312331233123309</v>
      </c>
    </row>
    <row r="234" spans="1:10" x14ac:dyDescent="0.35">
      <c r="A234" t="s">
        <v>362</v>
      </c>
      <c r="B234" s="4">
        <v>44979</v>
      </c>
      <c r="C234" t="s">
        <v>131</v>
      </c>
      <c r="D234" t="s">
        <v>248</v>
      </c>
      <c r="E234">
        <v>14</v>
      </c>
      <c r="F234">
        <v>20</v>
      </c>
      <c r="G234" cm="1">
        <f t="array" ref="G234">SALESTABLE[[#This Row],[Quantity]]*_xlfn.XLOOKUP(SALESTABLE[[#This Row],[Product_ID]],ProductsTable[Product_ID],ProductsTable[Unit_Price],WAASIU,0,1)</f>
        <v>2613.94</v>
      </c>
      <c r="H234" cm="1">
        <f t="array" ref="H234">SALESTABLE[[#This Row],[Quantity]]*_xlfn.XLOOKUP(SALESTABLE[[#This Row],[Product_ID]],ProductsTable[Product_ID],ProductsTable[Cost_Price],WAASIU,0,1)</f>
        <v>1752.6599999999999</v>
      </c>
      <c r="I234">
        <f>SALESTABLE[[#This Row],[Revenue]]-SALESTABLE[[#This Row],[COST]]</f>
        <v>861.2800000000002</v>
      </c>
      <c r="J234">
        <f>SALESTABLE[[#This Row],[PROFIT]]/SALESTABLE[[#This Row],[Revenue]]*100</f>
        <v>32.949493867495057</v>
      </c>
    </row>
    <row r="235" spans="1:10" x14ac:dyDescent="0.35">
      <c r="A235" t="s">
        <v>363</v>
      </c>
      <c r="B235" s="4">
        <v>45327</v>
      </c>
      <c r="C235" t="s">
        <v>289</v>
      </c>
      <c r="D235" t="s">
        <v>22</v>
      </c>
      <c r="E235">
        <v>6</v>
      </c>
      <c r="F235">
        <v>0</v>
      </c>
      <c r="G235" cm="1">
        <f t="array" ref="G235">SALESTABLE[[#This Row],[Quantity]]*_xlfn.XLOOKUP(SALESTABLE[[#This Row],[Product_ID]],ProductsTable[Product_ID],ProductsTable[Unit_Price],WAASIU,0,1)</f>
        <v>2518.02</v>
      </c>
      <c r="H235" cm="1">
        <f t="array" ref="H235">SALESTABLE[[#This Row],[Quantity]]*_xlfn.XLOOKUP(SALESTABLE[[#This Row],[Product_ID]],ProductsTable[Product_ID],ProductsTable[Cost_Price],WAASIU,0,1)</f>
        <v>1280.52</v>
      </c>
      <c r="I235">
        <f>SALESTABLE[[#This Row],[Revenue]]-SALESTABLE[[#This Row],[COST]]</f>
        <v>1237.5</v>
      </c>
      <c r="J235">
        <f>SALESTABLE[[#This Row],[PROFIT]]/SALESTABLE[[#This Row],[Revenue]]*100</f>
        <v>49.145757380799196</v>
      </c>
    </row>
    <row r="236" spans="1:10" x14ac:dyDescent="0.35">
      <c r="A236" t="s">
        <v>364</v>
      </c>
      <c r="B236" s="4">
        <v>45632</v>
      </c>
      <c r="C236" t="s">
        <v>104</v>
      </c>
      <c r="D236" t="s">
        <v>44</v>
      </c>
      <c r="E236">
        <v>3</v>
      </c>
      <c r="F236">
        <v>15</v>
      </c>
      <c r="G236" cm="1">
        <f t="array" ref="G236">SALESTABLE[[#This Row],[Quantity]]*_xlfn.XLOOKUP(SALESTABLE[[#This Row],[Product_ID]],ProductsTable[Product_ID],ProductsTable[Unit_Price],WAASIU,0,1)</f>
        <v>402.57</v>
      </c>
      <c r="H236" cm="1">
        <f t="array" ref="H236">SALESTABLE[[#This Row],[Quantity]]*_xlfn.XLOOKUP(SALESTABLE[[#This Row],[Product_ID]],ProductsTable[Product_ID],ProductsTable[Cost_Price],WAASIU,0,1)</f>
        <v>249.95999999999998</v>
      </c>
      <c r="I236">
        <f>SALESTABLE[[#This Row],[Revenue]]-SALESTABLE[[#This Row],[COST]]</f>
        <v>152.61000000000001</v>
      </c>
      <c r="J236">
        <f>SALESTABLE[[#This Row],[PROFIT]]/SALESTABLE[[#This Row],[Revenue]]*100</f>
        <v>37.908935092033687</v>
      </c>
    </row>
    <row r="237" spans="1:10" x14ac:dyDescent="0.35">
      <c r="A237" t="s">
        <v>365</v>
      </c>
      <c r="B237" s="4">
        <v>45651</v>
      </c>
      <c r="C237" t="s">
        <v>366</v>
      </c>
      <c r="D237" t="s">
        <v>11</v>
      </c>
      <c r="E237">
        <v>9</v>
      </c>
      <c r="F237">
        <v>5</v>
      </c>
      <c r="G237" cm="1">
        <f t="array" ref="G237">SALESTABLE[[#This Row],[Quantity]]*_xlfn.XLOOKUP(SALESTABLE[[#This Row],[Product_ID]],ProductsTable[Product_ID],ProductsTable[Unit_Price],WAASIU,0,1)</f>
        <v>4295.43</v>
      </c>
      <c r="H237" cm="1">
        <f t="array" ref="H237">SALESTABLE[[#This Row],[Quantity]]*_xlfn.XLOOKUP(SALESTABLE[[#This Row],[Product_ID]],ProductsTable[Product_ID],ProductsTable[Cost_Price],WAASIU,0,1)</f>
        <v>2689.56</v>
      </c>
      <c r="I237">
        <f>SALESTABLE[[#This Row],[Revenue]]-SALESTABLE[[#This Row],[COST]]</f>
        <v>1605.8700000000003</v>
      </c>
      <c r="J237">
        <f>SALESTABLE[[#This Row],[PROFIT]]/SALESTABLE[[#This Row],[Revenue]]*100</f>
        <v>37.385546965030279</v>
      </c>
    </row>
    <row r="238" spans="1:10" x14ac:dyDescent="0.35">
      <c r="A238" t="s">
        <v>367</v>
      </c>
      <c r="B238" s="4">
        <v>45227</v>
      </c>
      <c r="C238" t="s">
        <v>92</v>
      </c>
      <c r="D238" t="s">
        <v>125</v>
      </c>
      <c r="E238">
        <v>14</v>
      </c>
      <c r="F238">
        <v>5</v>
      </c>
      <c r="G238" cm="1">
        <f t="array" ref="G238">SALESTABLE[[#This Row],[Quantity]]*_xlfn.XLOOKUP(SALESTABLE[[#This Row],[Product_ID]],ProductsTable[Product_ID],ProductsTable[Unit_Price],WAASIU,0,1)</f>
        <v>4685.8</v>
      </c>
      <c r="H238" cm="1">
        <f t="array" ref="H238">SALESTABLE[[#This Row],[Quantity]]*_xlfn.XLOOKUP(SALESTABLE[[#This Row],[Product_ID]],ProductsTable[Product_ID],ProductsTable[Cost_Price],WAASIU,0,1)</f>
        <v>3493.28</v>
      </c>
      <c r="I238">
        <f>SALESTABLE[[#This Row],[Revenue]]-SALESTABLE[[#This Row],[COST]]</f>
        <v>1192.52</v>
      </c>
      <c r="J238">
        <f>SALESTABLE[[#This Row],[PROFIT]]/SALESTABLE[[#This Row],[Revenue]]*100</f>
        <v>25.449656408724231</v>
      </c>
    </row>
    <row r="239" spans="1:10" x14ac:dyDescent="0.35">
      <c r="A239" t="s">
        <v>368</v>
      </c>
      <c r="B239" s="4">
        <v>45539</v>
      </c>
      <c r="C239" t="s">
        <v>174</v>
      </c>
      <c r="D239" t="s">
        <v>25</v>
      </c>
      <c r="E239">
        <v>3</v>
      </c>
      <c r="F239">
        <v>20</v>
      </c>
      <c r="G239" cm="1">
        <f t="array" ref="G239">SALESTABLE[[#This Row],[Quantity]]*_xlfn.XLOOKUP(SALESTABLE[[#This Row],[Product_ID]],ProductsTable[Product_ID],ProductsTable[Unit_Price],WAASIU,0,1)</f>
        <v>533.28</v>
      </c>
      <c r="H239" cm="1">
        <f t="array" ref="H239">SALESTABLE[[#This Row],[Quantity]]*_xlfn.XLOOKUP(SALESTABLE[[#This Row],[Product_ID]],ProductsTable[Product_ID],ProductsTable[Cost_Price],WAASIU,0,1)</f>
        <v>275.64</v>
      </c>
      <c r="I239">
        <f>SALESTABLE[[#This Row],[Revenue]]-SALESTABLE[[#This Row],[COST]]</f>
        <v>257.64</v>
      </c>
      <c r="J239">
        <f>SALESTABLE[[#This Row],[PROFIT]]/SALESTABLE[[#This Row],[Revenue]]*100</f>
        <v>48.312331233123309</v>
      </c>
    </row>
    <row r="240" spans="1:10" x14ac:dyDescent="0.35">
      <c r="A240" t="s">
        <v>369</v>
      </c>
      <c r="B240" s="4">
        <v>45010</v>
      </c>
      <c r="C240" t="s">
        <v>18</v>
      </c>
      <c r="D240" t="s">
        <v>49</v>
      </c>
      <c r="E240">
        <v>14</v>
      </c>
      <c r="F240">
        <v>0</v>
      </c>
      <c r="G240" cm="1">
        <f t="array" ref="G240">SALESTABLE[[#This Row],[Quantity]]*_xlfn.XLOOKUP(SALESTABLE[[#This Row],[Product_ID]],ProductsTable[Product_ID],ProductsTable[Unit_Price],WAASIU,0,1)</f>
        <v>3214.8199999999997</v>
      </c>
      <c r="H240" cm="1">
        <f t="array" ref="H240">SALESTABLE[[#This Row],[Quantity]]*_xlfn.XLOOKUP(SALESTABLE[[#This Row],[Product_ID]],ProductsTable[Product_ID],ProductsTable[Cost_Price],WAASIU,0,1)</f>
        <v>1839.8799999999999</v>
      </c>
      <c r="I240">
        <f>SALESTABLE[[#This Row],[Revenue]]-SALESTABLE[[#This Row],[COST]]</f>
        <v>1374.9399999999998</v>
      </c>
      <c r="J240">
        <f>SALESTABLE[[#This Row],[PROFIT]]/SALESTABLE[[#This Row],[Revenue]]*100</f>
        <v>42.768801985803243</v>
      </c>
    </row>
    <row r="241" spans="1:10" x14ac:dyDescent="0.35">
      <c r="A241" t="s">
        <v>370</v>
      </c>
      <c r="B241" s="4">
        <v>45000</v>
      </c>
      <c r="C241" t="s">
        <v>102</v>
      </c>
      <c r="D241" t="s">
        <v>22</v>
      </c>
      <c r="E241">
        <v>9</v>
      </c>
      <c r="F241">
        <v>5</v>
      </c>
      <c r="G241" cm="1">
        <f t="array" ref="G241">SALESTABLE[[#This Row],[Quantity]]*_xlfn.XLOOKUP(SALESTABLE[[#This Row],[Product_ID]],ProductsTable[Product_ID],ProductsTable[Unit_Price],WAASIU,0,1)</f>
        <v>3777.03</v>
      </c>
      <c r="H241" cm="1">
        <f t="array" ref="H241">SALESTABLE[[#This Row],[Quantity]]*_xlfn.XLOOKUP(SALESTABLE[[#This Row],[Product_ID]],ProductsTable[Product_ID],ProductsTable[Cost_Price],WAASIU,0,1)</f>
        <v>1920.78</v>
      </c>
      <c r="I241">
        <f>SALESTABLE[[#This Row],[Revenue]]-SALESTABLE[[#This Row],[COST]]</f>
        <v>1856.2500000000002</v>
      </c>
      <c r="J241">
        <f>SALESTABLE[[#This Row],[PROFIT]]/SALESTABLE[[#This Row],[Revenue]]*100</f>
        <v>49.145757380799203</v>
      </c>
    </row>
    <row r="242" spans="1:10" x14ac:dyDescent="0.35">
      <c r="A242" t="s">
        <v>371</v>
      </c>
      <c r="B242" s="4">
        <v>45337</v>
      </c>
      <c r="C242" t="s">
        <v>92</v>
      </c>
      <c r="D242" t="s">
        <v>248</v>
      </c>
      <c r="E242">
        <v>12</v>
      </c>
      <c r="F242">
        <v>10</v>
      </c>
      <c r="G242" cm="1">
        <f t="array" ref="G242">SALESTABLE[[#This Row],[Quantity]]*_xlfn.XLOOKUP(SALESTABLE[[#This Row],[Product_ID]],ProductsTable[Product_ID],ProductsTable[Unit_Price],WAASIU,0,1)</f>
        <v>2240.52</v>
      </c>
      <c r="H242" cm="1">
        <f t="array" ref="H242">SALESTABLE[[#This Row],[Quantity]]*_xlfn.XLOOKUP(SALESTABLE[[#This Row],[Product_ID]],ProductsTable[Product_ID],ProductsTable[Cost_Price],WAASIU,0,1)</f>
        <v>1502.28</v>
      </c>
      <c r="I242">
        <f>SALESTABLE[[#This Row],[Revenue]]-SALESTABLE[[#This Row],[COST]]</f>
        <v>738.24</v>
      </c>
      <c r="J242">
        <f>SALESTABLE[[#This Row],[PROFIT]]/SALESTABLE[[#This Row],[Revenue]]*100</f>
        <v>32.949493867495043</v>
      </c>
    </row>
    <row r="243" spans="1:10" x14ac:dyDescent="0.35">
      <c r="A243" t="s">
        <v>372</v>
      </c>
      <c r="B243" s="4">
        <v>45639</v>
      </c>
      <c r="C243" t="s">
        <v>331</v>
      </c>
      <c r="D243" t="s">
        <v>8</v>
      </c>
      <c r="E243">
        <v>5</v>
      </c>
      <c r="F243">
        <v>15</v>
      </c>
      <c r="G243" cm="1">
        <f t="array" ref="G243">SALESTABLE[[#This Row],[Quantity]]*_xlfn.XLOOKUP(SALESTABLE[[#This Row],[Product_ID]],ProductsTable[Product_ID],ProductsTable[Unit_Price],WAASIU,0,1)</f>
        <v>1681.6</v>
      </c>
      <c r="H243" cm="1">
        <f t="array" ref="H243">SALESTABLE[[#This Row],[Quantity]]*_xlfn.XLOOKUP(SALESTABLE[[#This Row],[Product_ID]],ProductsTable[Product_ID],ProductsTable[Cost_Price],WAASIU,0,1)</f>
        <v>1138.9000000000001</v>
      </c>
      <c r="I243">
        <f>SALESTABLE[[#This Row],[Revenue]]-SALESTABLE[[#This Row],[COST]]</f>
        <v>542.69999999999982</v>
      </c>
      <c r="J243">
        <f>SALESTABLE[[#This Row],[PROFIT]]/SALESTABLE[[#This Row],[Revenue]]*100</f>
        <v>32.272835394862028</v>
      </c>
    </row>
    <row r="244" spans="1:10" x14ac:dyDescent="0.35">
      <c r="A244" t="s">
        <v>373</v>
      </c>
      <c r="B244" s="4">
        <v>45452</v>
      </c>
      <c r="C244" t="s">
        <v>149</v>
      </c>
      <c r="D244" t="s">
        <v>100</v>
      </c>
      <c r="E244">
        <v>2</v>
      </c>
      <c r="F244">
        <v>0</v>
      </c>
      <c r="G244" cm="1">
        <f t="array" ref="G244">SALESTABLE[[#This Row],[Quantity]]*_xlfn.XLOOKUP(SALESTABLE[[#This Row],[Product_ID]],ProductsTable[Product_ID],ProductsTable[Unit_Price],WAASIU,0,1)</f>
        <v>818.64</v>
      </c>
      <c r="H244" cm="1">
        <f t="array" ref="H244">SALESTABLE[[#This Row],[Quantity]]*_xlfn.XLOOKUP(SALESTABLE[[#This Row],[Product_ID]],ProductsTable[Product_ID],ProductsTable[Cost_Price],WAASIU,0,1)</f>
        <v>425.3</v>
      </c>
      <c r="I244">
        <f>SALESTABLE[[#This Row],[Revenue]]-SALESTABLE[[#This Row],[COST]]</f>
        <v>393.34</v>
      </c>
      <c r="J244">
        <f>SALESTABLE[[#This Row],[PROFIT]]/SALESTABLE[[#This Row],[Revenue]]*100</f>
        <v>48.047982018958265</v>
      </c>
    </row>
    <row r="245" spans="1:10" x14ac:dyDescent="0.35">
      <c r="A245" t="s">
        <v>374</v>
      </c>
      <c r="B245" s="4">
        <v>45409</v>
      </c>
      <c r="C245" t="s">
        <v>118</v>
      </c>
      <c r="D245" t="s">
        <v>49</v>
      </c>
      <c r="E245">
        <v>13</v>
      </c>
      <c r="F245">
        <v>0</v>
      </c>
      <c r="G245" cm="1">
        <f t="array" ref="G245">SALESTABLE[[#This Row],[Quantity]]*_xlfn.XLOOKUP(SALESTABLE[[#This Row],[Product_ID]],ProductsTable[Product_ID],ProductsTable[Unit_Price],WAASIU,0,1)</f>
        <v>2985.19</v>
      </c>
      <c r="H245" cm="1">
        <f t="array" ref="H245">SALESTABLE[[#This Row],[Quantity]]*_xlfn.XLOOKUP(SALESTABLE[[#This Row],[Product_ID]],ProductsTable[Product_ID],ProductsTable[Cost_Price],WAASIU,0,1)</f>
        <v>1708.4599999999998</v>
      </c>
      <c r="I245">
        <f>SALESTABLE[[#This Row],[Revenue]]-SALESTABLE[[#This Row],[COST]]</f>
        <v>1276.7300000000002</v>
      </c>
      <c r="J245">
        <f>SALESTABLE[[#This Row],[PROFIT]]/SALESTABLE[[#This Row],[Revenue]]*100</f>
        <v>42.768801985803258</v>
      </c>
    </row>
    <row r="246" spans="1:10" x14ac:dyDescent="0.35">
      <c r="A246" t="s">
        <v>375</v>
      </c>
      <c r="B246" s="4">
        <v>45007</v>
      </c>
      <c r="C246" t="s">
        <v>112</v>
      </c>
      <c r="D246" t="s">
        <v>110</v>
      </c>
      <c r="E246">
        <v>2</v>
      </c>
      <c r="F246">
        <v>20</v>
      </c>
      <c r="G246" cm="1">
        <f t="array" ref="G246">SALESTABLE[[#This Row],[Quantity]]*_xlfn.XLOOKUP(SALESTABLE[[#This Row],[Product_ID]],ProductsTable[Product_ID],ProductsTable[Unit_Price],WAASIU,0,1)</f>
        <v>982.64</v>
      </c>
      <c r="H246" cm="1">
        <f t="array" ref="H246">SALESTABLE[[#This Row],[Quantity]]*_xlfn.XLOOKUP(SALESTABLE[[#This Row],[Product_ID]],ProductsTable[Product_ID],ProductsTable[Cost_Price],WAASIU,0,1)</f>
        <v>536.22</v>
      </c>
      <c r="I246">
        <f>SALESTABLE[[#This Row],[Revenue]]-SALESTABLE[[#This Row],[COST]]</f>
        <v>446.41999999999996</v>
      </c>
      <c r="J246">
        <f>SALESTABLE[[#This Row],[PROFIT]]/SALESTABLE[[#This Row],[Revenue]]*100</f>
        <v>45.430676544818041</v>
      </c>
    </row>
    <row r="247" spans="1:10" x14ac:dyDescent="0.35">
      <c r="A247" t="s">
        <v>376</v>
      </c>
      <c r="B247" s="4">
        <v>45435</v>
      </c>
      <c r="C247" t="s">
        <v>165</v>
      </c>
      <c r="D247" t="s">
        <v>57</v>
      </c>
      <c r="E247">
        <v>11</v>
      </c>
      <c r="F247">
        <v>5</v>
      </c>
      <c r="G247" cm="1">
        <f t="array" ref="G247">SALESTABLE[[#This Row],[Quantity]]*_xlfn.XLOOKUP(SALESTABLE[[#This Row],[Product_ID]],ProductsTable[Product_ID],ProductsTable[Unit_Price],WAASIU,0,1)</f>
        <v>1747.13</v>
      </c>
      <c r="H247" cm="1">
        <f t="array" ref="H247">SALESTABLE[[#This Row],[Quantity]]*_xlfn.XLOOKUP(SALESTABLE[[#This Row],[Product_ID]],ProductsTable[Product_ID],ProductsTable[Cost_Price],WAASIU,0,1)</f>
        <v>1396.34</v>
      </c>
      <c r="I247">
        <f>SALESTABLE[[#This Row],[Revenue]]-SALESTABLE[[#This Row],[COST]]</f>
        <v>350.79000000000019</v>
      </c>
      <c r="J247">
        <f>SALESTABLE[[#This Row],[PROFIT]]/SALESTABLE[[#This Row],[Revenue]]*100</f>
        <v>20.078070893408057</v>
      </c>
    </row>
    <row r="248" spans="1:10" x14ac:dyDescent="0.35">
      <c r="A248" t="s">
        <v>377</v>
      </c>
      <c r="B248" s="4">
        <v>45334</v>
      </c>
      <c r="C248" t="s">
        <v>118</v>
      </c>
      <c r="D248" t="s">
        <v>52</v>
      </c>
      <c r="E248">
        <v>4</v>
      </c>
      <c r="F248">
        <v>5</v>
      </c>
      <c r="G248" cm="1">
        <f t="array" ref="G248">SALESTABLE[[#This Row],[Quantity]]*_xlfn.XLOOKUP(SALESTABLE[[#This Row],[Product_ID]],ProductsTable[Product_ID],ProductsTable[Unit_Price],WAASIU,0,1)</f>
        <v>735.12</v>
      </c>
      <c r="H248" cm="1">
        <f t="array" ref="H248">SALESTABLE[[#This Row],[Quantity]]*_xlfn.XLOOKUP(SALESTABLE[[#This Row],[Product_ID]],ProductsTable[Product_ID],ProductsTable[Cost_Price],WAASIU,0,1)</f>
        <v>462.52</v>
      </c>
      <c r="I248">
        <f>SALESTABLE[[#This Row],[Revenue]]-SALESTABLE[[#This Row],[COST]]</f>
        <v>272.60000000000002</v>
      </c>
      <c r="J248">
        <f>SALESTABLE[[#This Row],[PROFIT]]/SALESTABLE[[#This Row],[Revenue]]*100</f>
        <v>37.082381107846338</v>
      </c>
    </row>
    <row r="249" spans="1:10" x14ac:dyDescent="0.35">
      <c r="A249" t="s">
        <v>378</v>
      </c>
      <c r="B249" s="4">
        <v>45473</v>
      </c>
      <c r="C249" t="s">
        <v>30</v>
      </c>
      <c r="D249" t="s">
        <v>52</v>
      </c>
      <c r="E249">
        <v>7</v>
      </c>
      <c r="F249">
        <v>0</v>
      </c>
      <c r="G249" cm="1">
        <f t="array" ref="G249">SALESTABLE[[#This Row],[Quantity]]*_xlfn.XLOOKUP(SALESTABLE[[#This Row],[Product_ID]],ProductsTable[Product_ID],ProductsTable[Unit_Price],WAASIU,0,1)</f>
        <v>1286.46</v>
      </c>
      <c r="H249" cm="1">
        <f t="array" ref="H249">SALESTABLE[[#This Row],[Quantity]]*_xlfn.XLOOKUP(SALESTABLE[[#This Row],[Product_ID]],ProductsTable[Product_ID],ProductsTable[Cost_Price],WAASIU,0,1)</f>
        <v>809.41</v>
      </c>
      <c r="I249">
        <f>SALESTABLE[[#This Row],[Revenue]]-SALESTABLE[[#This Row],[COST]]</f>
        <v>477.05000000000007</v>
      </c>
      <c r="J249">
        <f>SALESTABLE[[#This Row],[PROFIT]]/SALESTABLE[[#This Row],[Revenue]]*100</f>
        <v>37.082381107846338</v>
      </c>
    </row>
    <row r="250" spans="1:10" x14ac:dyDescent="0.35">
      <c r="A250" t="s">
        <v>379</v>
      </c>
      <c r="B250" s="4">
        <v>45574</v>
      </c>
      <c r="C250" t="s">
        <v>102</v>
      </c>
      <c r="D250" t="s">
        <v>133</v>
      </c>
      <c r="E250">
        <v>19</v>
      </c>
      <c r="F250">
        <v>5</v>
      </c>
      <c r="G250" cm="1">
        <f t="array" ref="G250">SALESTABLE[[#This Row],[Quantity]]*_xlfn.XLOOKUP(SALESTABLE[[#This Row],[Product_ID]],ProductsTable[Product_ID],ProductsTable[Unit_Price],WAASIU,0,1)</f>
        <v>6669</v>
      </c>
      <c r="H250" cm="1">
        <f t="array" ref="H250">SALESTABLE[[#This Row],[Quantity]]*_xlfn.XLOOKUP(SALESTABLE[[#This Row],[Product_ID]],ProductsTable[Product_ID],ProductsTable[Cost_Price],WAASIU,0,1)</f>
        <v>4438.97</v>
      </c>
      <c r="I250">
        <f>SALESTABLE[[#This Row],[Revenue]]-SALESTABLE[[#This Row],[COST]]</f>
        <v>2230.0299999999997</v>
      </c>
      <c r="J250">
        <f>SALESTABLE[[#This Row],[PROFIT]]/SALESTABLE[[#This Row],[Revenue]]*100</f>
        <v>33.438746438746435</v>
      </c>
    </row>
    <row r="251" spans="1:10" x14ac:dyDescent="0.35">
      <c r="A251" t="s">
        <v>380</v>
      </c>
      <c r="B251" s="4">
        <v>45236</v>
      </c>
      <c r="C251" t="s">
        <v>159</v>
      </c>
      <c r="D251" t="s">
        <v>113</v>
      </c>
      <c r="E251">
        <v>15</v>
      </c>
      <c r="F251">
        <v>20</v>
      </c>
      <c r="G251" cm="1">
        <f t="array" ref="G251">SALESTABLE[[#This Row],[Quantity]]*_xlfn.XLOOKUP(SALESTABLE[[#This Row],[Product_ID]],ProductsTable[Product_ID],ProductsTable[Unit_Price],WAASIU,0,1)</f>
        <v>5056.3499999999995</v>
      </c>
      <c r="H251" cm="1">
        <f t="array" ref="H251">SALESTABLE[[#This Row],[Quantity]]*_xlfn.XLOOKUP(SALESTABLE[[#This Row],[Product_ID]],ProductsTable[Product_ID],ProductsTable[Cost_Price],WAASIU,0,1)</f>
        <v>2796.15</v>
      </c>
      <c r="I251">
        <f>SALESTABLE[[#This Row],[Revenue]]-SALESTABLE[[#This Row],[COST]]</f>
        <v>2260.1999999999994</v>
      </c>
      <c r="J251">
        <f>SALESTABLE[[#This Row],[PROFIT]]/SALESTABLE[[#This Row],[Revenue]]*100</f>
        <v>44.700228425642997</v>
      </c>
    </row>
    <row r="252" spans="1:10" x14ac:dyDescent="0.35">
      <c r="A252" t="s">
        <v>381</v>
      </c>
      <c r="B252" s="4">
        <v>45388</v>
      </c>
      <c r="C252" t="s">
        <v>129</v>
      </c>
      <c r="D252" t="s">
        <v>57</v>
      </c>
      <c r="E252">
        <v>19</v>
      </c>
      <c r="F252">
        <v>20</v>
      </c>
      <c r="G252" cm="1">
        <f t="array" ref="G252">SALESTABLE[[#This Row],[Quantity]]*_xlfn.XLOOKUP(SALESTABLE[[#This Row],[Product_ID]],ProductsTable[Product_ID],ProductsTable[Unit_Price],WAASIU,0,1)</f>
        <v>3017.7700000000004</v>
      </c>
      <c r="H252" cm="1">
        <f t="array" ref="H252">SALESTABLE[[#This Row],[Quantity]]*_xlfn.XLOOKUP(SALESTABLE[[#This Row],[Product_ID]],ProductsTable[Product_ID],ProductsTable[Cost_Price],WAASIU,0,1)</f>
        <v>2411.86</v>
      </c>
      <c r="I252">
        <f>SALESTABLE[[#This Row],[Revenue]]-SALESTABLE[[#This Row],[COST]]</f>
        <v>605.91000000000031</v>
      </c>
      <c r="J252">
        <f>SALESTABLE[[#This Row],[PROFIT]]/SALESTABLE[[#This Row],[Revenue]]*100</f>
        <v>20.078070893408054</v>
      </c>
    </row>
    <row r="253" spans="1:10" x14ac:dyDescent="0.35">
      <c r="A253" t="s">
        <v>382</v>
      </c>
      <c r="B253" s="4">
        <v>44982</v>
      </c>
      <c r="C253" t="s">
        <v>65</v>
      </c>
      <c r="D253" t="s">
        <v>100</v>
      </c>
      <c r="E253">
        <v>1</v>
      </c>
      <c r="F253">
        <v>15</v>
      </c>
      <c r="G253" cm="1">
        <f t="array" ref="G253">SALESTABLE[[#This Row],[Quantity]]*_xlfn.XLOOKUP(SALESTABLE[[#This Row],[Product_ID]],ProductsTable[Product_ID],ProductsTable[Unit_Price],WAASIU,0,1)</f>
        <v>409.32</v>
      </c>
      <c r="H253" cm="1">
        <f t="array" ref="H253">SALESTABLE[[#This Row],[Quantity]]*_xlfn.XLOOKUP(SALESTABLE[[#This Row],[Product_ID]],ProductsTable[Product_ID],ProductsTable[Cost_Price],WAASIU,0,1)</f>
        <v>212.65</v>
      </c>
      <c r="I253">
        <f>SALESTABLE[[#This Row],[Revenue]]-SALESTABLE[[#This Row],[COST]]</f>
        <v>196.67</v>
      </c>
      <c r="J253">
        <f>SALESTABLE[[#This Row],[PROFIT]]/SALESTABLE[[#This Row],[Revenue]]*100</f>
        <v>48.047982018958265</v>
      </c>
    </row>
    <row r="254" spans="1:10" x14ac:dyDescent="0.35">
      <c r="A254" t="s">
        <v>383</v>
      </c>
      <c r="B254" s="4">
        <v>45402</v>
      </c>
      <c r="C254" t="s">
        <v>92</v>
      </c>
      <c r="D254" t="s">
        <v>25</v>
      </c>
      <c r="E254">
        <v>11</v>
      </c>
      <c r="F254">
        <v>0</v>
      </c>
      <c r="G254" cm="1">
        <f t="array" ref="G254">SALESTABLE[[#This Row],[Quantity]]*_xlfn.XLOOKUP(SALESTABLE[[#This Row],[Product_ID]],ProductsTable[Product_ID],ProductsTable[Unit_Price],WAASIU,0,1)</f>
        <v>1955.36</v>
      </c>
      <c r="H254" cm="1">
        <f t="array" ref="H254">SALESTABLE[[#This Row],[Quantity]]*_xlfn.XLOOKUP(SALESTABLE[[#This Row],[Product_ID]],ProductsTable[Product_ID],ProductsTable[Cost_Price],WAASIU,0,1)</f>
        <v>1010.68</v>
      </c>
      <c r="I254">
        <f>SALESTABLE[[#This Row],[Revenue]]-SALESTABLE[[#This Row],[COST]]</f>
        <v>944.68</v>
      </c>
      <c r="J254">
        <f>SALESTABLE[[#This Row],[PROFIT]]/SALESTABLE[[#This Row],[Revenue]]*100</f>
        <v>48.312331233123309</v>
      </c>
    </row>
    <row r="255" spans="1:10" x14ac:dyDescent="0.35">
      <c r="A255" t="s">
        <v>384</v>
      </c>
      <c r="B255" s="4">
        <v>45451</v>
      </c>
      <c r="C255" t="s">
        <v>301</v>
      </c>
      <c r="D255" t="s">
        <v>16</v>
      </c>
      <c r="E255">
        <v>9</v>
      </c>
      <c r="F255">
        <v>20</v>
      </c>
      <c r="G255" cm="1">
        <f t="array" ref="G255">SALESTABLE[[#This Row],[Quantity]]*_xlfn.XLOOKUP(SALESTABLE[[#This Row],[Product_ID]],ProductsTable[Product_ID],ProductsTable[Unit_Price],WAASIU,0,1)</f>
        <v>3259.53</v>
      </c>
      <c r="H255" cm="1">
        <f t="array" ref="H255">SALESTABLE[[#This Row],[Quantity]]*_xlfn.XLOOKUP(SALESTABLE[[#This Row],[Product_ID]],ProductsTable[Product_ID],ProductsTable[Cost_Price],WAASIU,0,1)</f>
        <v>2100.42</v>
      </c>
      <c r="I255">
        <f>SALESTABLE[[#This Row],[Revenue]]-SALESTABLE[[#This Row],[COST]]</f>
        <v>1159.1100000000001</v>
      </c>
      <c r="J255">
        <f>SALESTABLE[[#This Row],[PROFIT]]/SALESTABLE[[#This Row],[Revenue]]*100</f>
        <v>35.560648314327523</v>
      </c>
    </row>
    <row r="256" spans="1:10" x14ac:dyDescent="0.35">
      <c r="A256" t="s">
        <v>385</v>
      </c>
      <c r="B256" s="4">
        <v>45354</v>
      </c>
      <c r="C256" t="s">
        <v>301</v>
      </c>
      <c r="D256" t="s">
        <v>107</v>
      </c>
      <c r="E256">
        <v>6</v>
      </c>
      <c r="F256">
        <v>10</v>
      </c>
      <c r="G256" cm="1">
        <f t="array" ref="G256">SALESTABLE[[#This Row],[Quantity]]*_xlfn.XLOOKUP(SALESTABLE[[#This Row],[Product_ID]],ProductsTable[Product_ID],ProductsTable[Unit_Price],WAASIU,0,1)</f>
        <v>390.06000000000006</v>
      </c>
      <c r="H256" cm="1">
        <f t="array" ref="H256">SALESTABLE[[#This Row],[Quantity]]*_xlfn.XLOOKUP(SALESTABLE[[#This Row],[Product_ID]],ProductsTable[Product_ID],ProductsTable[Cost_Price],WAASIU,0,1)</f>
        <v>220.98</v>
      </c>
      <c r="I256">
        <f>SALESTABLE[[#This Row],[Revenue]]-SALESTABLE[[#This Row],[COST]]</f>
        <v>169.08000000000007</v>
      </c>
      <c r="J256">
        <f>SALESTABLE[[#This Row],[PROFIT]]/SALESTABLE[[#This Row],[Revenue]]*100</f>
        <v>43.347177357329656</v>
      </c>
    </row>
    <row r="257" spans="1:10" x14ac:dyDescent="0.35">
      <c r="A257" t="s">
        <v>386</v>
      </c>
      <c r="B257" s="4">
        <v>45336</v>
      </c>
      <c r="C257" t="s">
        <v>83</v>
      </c>
      <c r="D257" t="s">
        <v>84</v>
      </c>
      <c r="E257">
        <v>2</v>
      </c>
      <c r="F257">
        <v>5</v>
      </c>
      <c r="G257" cm="1">
        <f t="array" ref="G257">SALESTABLE[[#This Row],[Quantity]]*_xlfn.XLOOKUP(SALESTABLE[[#This Row],[Product_ID]],ProductsTable[Product_ID],ProductsTable[Unit_Price],WAASIU,0,1)</f>
        <v>537.79999999999995</v>
      </c>
      <c r="H257" cm="1">
        <f t="array" ref="H257">SALESTABLE[[#This Row],[Quantity]]*_xlfn.XLOOKUP(SALESTABLE[[#This Row],[Product_ID]],ProductsTable[Product_ID],ProductsTable[Cost_Price],WAASIU,0,1)</f>
        <v>311.72000000000003</v>
      </c>
      <c r="I257">
        <f>SALESTABLE[[#This Row],[Revenue]]-SALESTABLE[[#This Row],[COST]]</f>
        <v>226.07999999999993</v>
      </c>
      <c r="J257">
        <f>SALESTABLE[[#This Row],[PROFIT]]/SALESTABLE[[#This Row],[Revenue]]*100</f>
        <v>42.037932316846401</v>
      </c>
    </row>
    <row r="258" spans="1:10" x14ac:dyDescent="0.35">
      <c r="A258" t="s">
        <v>387</v>
      </c>
      <c r="B258" s="4">
        <v>45411</v>
      </c>
      <c r="C258" t="s">
        <v>181</v>
      </c>
      <c r="D258" t="s">
        <v>133</v>
      </c>
      <c r="E258">
        <v>9</v>
      </c>
      <c r="F258">
        <v>5</v>
      </c>
      <c r="G258" cm="1">
        <f t="array" ref="G258">SALESTABLE[[#This Row],[Quantity]]*_xlfn.XLOOKUP(SALESTABLE[[#This Row],[Product_ID]],ProductsTable[Product_ID],ProductsTable[Unit_Price],WAASIU,0,1)</f>
        <v>3159</v>
      </c>
      <c r="H258" cm="1">
        <f t="array" ref="H258">SALESTABLE[[#This Row],[Quantity]]*_xlfn.XLOOKUP(SALESTABLE[[#This Row],[Product_ID]],ProductsTable[Product_ID],ProductsTable[Cost_Price],WAASIU,0,1)</f>
        <v>2102.67</v>
      </c>
      <c r="I258">
        <f>SALESTABLE[[#This Row],[Revenue]]-SALESTABLE[[#This Row],[COST]]</f>
        <v>1056.33</v>
      </c>
      <c r="J258">
        <f>SALESTABLE[[#This Row],[PROFIT]]/SALESTABLE[[#This Row],[Revenue]]*100</f>
        <v>33.438746438746435</v>
      </c>
    </row>
    <row r="259" spans="1:10" x14ac:dyDescent="0.35">
      <c r="A259" t="s">
        <v>388</v>
      </c>
      <c r="B259" s="4">
        <v>45248</v>
      </c>
      <c r="C259" t="s">
        <v>289</v>
      </c>
      <c r="D259" t="s">
        <v>16</v>
      </c>
      <c r="E259">
        <v>4</v>
      </c>
      <c r="F259">
        <v>5</v>
      </c>
      <c r="G259" cm="1">
        <f t="array" ref="G259">SALESTABLE[[#This Row],[Quantity]]*_xlfn.XLOOKUP(SALESTABLE[[#This Row],[Product_ID]],ProductsTable[Product_ID],ProductsTable[Unit_Price],WAASIU,0,1)</f>
        <v>1448.68</v>
      </c>
      <c r="H259" cm="1">
        <f t="array" ref="H259">SALESTABLE[[#This Row],[Quantity]]*_xlfn.XLOOKUP(SALESTABLE[[#This Row],[Product_ID]],ProductsTable[Product_ID],ProductsTable[Cost_Price],WAASIU,0,1)</f>
        <v>933.52</v>
      </c>
      <c r="I259">
        <f>SALESTABLE[[#This Row],[Revenue]]-SALESTABLE[[#This Row],[COST]]</f>
        <v>515.16000000000008</v>
      </c>
      <c r="J259">
        <f>SALESTABLE[[#This Row],[PROFIT]]/SALESTABLE[[#This Row],[Revenue]]*100</f>
        <v>35.56064831432753</v>
      </c>
    </row>
    <row r="260" spans="1:10" x14ac:dyDescent="0.35">
      <c r="A260" t="s">
        <v>389</v>
      </c>
      <c r="B260" s="4">
        <v>45349</v>
      </c>
      <c r="C260" t="s">
        <v>265</v>
      </c>
      <c r="D260" t="s">
        <v>133</v>
      </c>
      <c r="E260">
        <v>15</v>
      </c>
      <c r="F260">
        <v>5</v>
      </c>
      <c r="G260" cm="1">
        <f t="array" ref="G260">SALESTABLE[[#This Row],[Quantity]]*_xlfn.XLOOKUP(SALESTABLE[[#This Row],[Product_ID]],ProductsTable[Product_ID],ProductsTable[Unit_Price],WAASIU,0,1)</f>
        <v>5265</v>
      </c>
      <c r="H260" cm="1">
        <f t="array" ref="H260">SALESTABLE[[#This Row],[Quantity]]*_xlfn.XLOOKUP(SALESTABLE[[#This Row],[Product_ID]],ProductsTable[Product_ID],ProductsTable[Cost_Price],WAASIU,0,1)</f>
        <v>3504.45</v>
      </c>
      <c r="I260">
        <f>SALESTABLE[[#This Row],[Revenue]]-SALESTABLE[[#This Row],[COST]]</f>
        <v>1760.5500000000002</v>
      </c>
      <c r="J260">
        <f>SALESTABLE[[#This Row],[PROFIT]]/SALESTABLE[[#This Row],[Revenue]]*100</f>
        <v>33.438746438746442</v>
      </c>
    </row>
    <row r="261" spans="1:10" x14ac:dyDescent="0.35">
      <c r="A261" t="s">
        <v>390</v>
      </c>
      <c r="B261" s="4">
        <v>45367</v>
      </c>
      <c r="C261" t="s">
        <v>15</v>
      </c>
      <c r="D261" t="s">
        <v>16</v>
      </c>
      <c r="E261">
        <v>6</v>
      </c>
      <c r="F261">
        <v>10</v>
      </c>
      <c r="G261" cm="1">
        <f t="array" ref="G261">SALESTABLE[[#This Row],[Quantity]]*_xlfn.XLOOKUP(SALESTABLE[[#This Row],[Product_ID]],ProductsTable[Product_ID],ProductsTable[Unit_Price],WAASIU,0,1)</f>
        <v>2173.02</v>
      </c>
      <c r="H261" cm="1">
        <f t="array" ref="H261">SALESTABLE[[#This Row],[Quantity]]*_xlfn.XLOOKUP(SALESTABLE[[#This Row],[Product_ID]],ProductsTable[Product_ID],ProductsTable[Cost_Price],WAASIU,0,1)</f>
        <v>1400.28</v>
      </c>
      <c r="I261">
        <f>SALESTABLE[[#This Row],[Revenue]]-SALESTABLE[[#This Row],[COST]]</f>
        <v>772.74</v>
      </c>
      <c r="J261">
        <f>SALESTABLE[[#This Row],[PROFIT]]/SALESTABLE[[#This Row],[Revenue]]*100</f>
        <v>35.560648314327523</v>
      </c>
    </row>
    <row r="262" spans="1:10" x14ac:dyDescent="0.35">
      <c r="A262" t="s">
        <v>391</v>
      </c>
      <c r="B262" s="4">
        <v>45336</v>
      </c>
      <c r="C262" t="s">
        <v>392</v>
      </c>
      <c r="D262" t="s">
        <v>25</v>
      </c>
      <c r="E262">
        <v>7</v>
      </c>
      <c r="F262">
        <v>20</v>
      </c>
      <c r="G262" cm="1">
        <f t="array" ref="G262">SALESTABLE[[#This Row],[Quantity]]*_xlfn.XLOOKUP(SALESTABLE[[#This Row],[Product_ID]],ProductsTable[Product_ID],ProductsTable[Unit_Price],WAASIU,0,1)</f>
        <v>1244.32</v>
      </c>
      <c r="H262" cm="1">
        <f t="array" ref="H262">SALESTABLE[[#This Row],[Quantity]]*_xlfn.XLOOKUP(SALESTABLE[[#This Row],[Product_ID]],ProductsTable[Product_ID],ProductsTable[Cost_Price],WAASIU,0,1)</f>
        <v>643.16</v>
      </c>
      <c r="I262">
        <f>SALESTABLE[[#This Row],[Revenue]]-SALESTABLE[[#This Row],[COST]]</f>
        <v>601.16</v>
      </c>
      <c r="J262">
        <f>SALESTABLE[[#This Row],[PROFIT]]/SALESTABLE[[#This Row],[Revenue]]*100</f>
        <v>48.312331233123309</v>
      </c>
    </row>
    <row r="263" spans="1:10" x14ac:dyDescent="0.35">
      <c r="A263" t="s">
        <v>393</v>
      </c>
      <c r="B263" s="4">
        <v>45310</v>
      </c>
      <c r="C263" t="s">
        <v>48</v>
      </c>
      <c r="D263" t="s">
        <v>13</v>
      </c>
      <c r="E263">
        <v>17</v>
      </c>
      <c r="F263">
        <v>15</v>
      </c>
      <c r="G263" cm="1">
        <f t="array" ref="G263">SALESTABLE[[#This Row],[Quantity]]*_xlfn.XLOOKUP(SALESTABLE[[#This Row],[Product_ID]],ProductsTable[Product_ID],ProductsTable[Unit_Price],WAASIU,0,1)</f>
        <v>7398.06</v>
      </c>
      <c r="H263" cm="1">
        <f t="array" ref="H263">SALESTABLE[[#This Row],[Quantity]]*_xlfn.XLOOKUP(SALESTABLE[[#This Row],[Product_ID]],ProductsTable[Product_ID],ProductsTable[Cost_Price],WAASIU,0,1)</f>
        <v>3926.1499999999996</v>
      </c>
      <c r="I263">
        <f>SALESTABLE[[#This Row],[Revenue]]-SALESTABLE[[#This Row],[COST]]</f>
        <v>3471.9100000000008</v>
      </c>
      <c r="J263">
        <f>SALESTABLE[[#This Row],[PROFIT]]/SALESTABLE[[#This Row],[Revenue]]*100</f>
        <v>46.930005974539277</v>
      </c>
    </row>
    <row r="264" spans="1:10" x14ac:dyDescent="0.35">
      <c r="A264" t="s">
        <v>394</v>
      </c>
      <c r="B264" s="4">
        <v>45080</v>
      </c>
      <c r="C264" t="s">
        <v>356</v>
      </c>
      <c r="D264" t="s">
        <v>19</v>
      </c>
      <c r="E264">
        <v>18</v>
      </c>
      <c r="F264">
        <v>15</v>
      </c>
      <c r="G264" cm="1">
        <f t="array" ref="G264">SALESTABLE[[#This Row],[Quantity]]*_xlfn.XLOOKUP(SALESTABLE[[#This Row],[Product_ID]],ProductsTable[Product_ID],ProductsTable[Unit_Price],WAASIU,0,1)</f>
        <v>1093.68</v>
      </c>
      <c r="H264" cm="1">
        <f t="array" ref="H264">SALESTABLE[[#This Row],[Quantity]]*_xlfn.XLOOKUP(SALESTABLE[[#This Row],[Product_ID]],ProductsTable[Product_ID],ProductsTable[Cost_Price],WAASIU,0,1)</f>
        <v>728.1</v>
      </c>
      <c r="I264">
        <f>SALESTABLE[[#This Row],[Revenue]]-SALESTABLE[[#This Row],[COST]]</f>
        <v>365.58000000000004</v>
      </c>
      <c r="J264">
        <f>SALESTABLE[[#This Row],[PROFIT]]/SALESTABLE[[#This Row],[Revenue]]*100</f>
        <v>33.426596445029624</v>
      </c>
    </row>
    <row r="265" spans="1:10" x14ac:dyDescent="0.35">
      <c r="A265" t="s">
        <v>395</v>
      </c>
      <c r="B265" s="4">
        <v>45010</v>
      </c>
      <c r="C265" t="s">
        <v>209</v>
      </c>
      <c r="D265" t="s">
        <v>28</v>
      </c>
      <c r="E265">
        <v>15</v>
      </c>
      <c r="F265">
        <v>5</v>
      </c>
      <c r="G265" cm="1">
        <f t="array" ref="G265">SALESTABLE[[#This Row],[Quantity]]*_xlfn.XLOOKUP(SALESTABLE[[#This Row],[Product_ID]],ProductsTable[Product_ID],ProductsTable[Unit_Price],WAASIU,0,1)</f>
        <v>6382.2000000000007</v>
      </c>
      <c r="H265" cm="1">
        <f t="array" ref="H265">SALESTABLE[[#This Row],[Quantity]]*_xlfn.XLOOKUP(SALESTABLE[[#This Row],[Product_ID]],ProductsTable[Product_ID],ProductsTable[Cost_Price],WAASIU,0,1)</f>
        <v>3502.2</v>
      </c>
      <c r="I265">
        <f>SALESTABLE[[#This Row],[Revenue]]-SALESTABLE[[#This Row],[COST]]</f>
        <v>2880.0000000000009</v>
      </c>
      <c r="J265">
        <f>SALESTABLE[[#This Row],[PROFIT]]/SALESTABLE[[#This Row],[Revenue]]*100</f>
        <v>45.125505311648027</v>
      </c>
    </row>
    <row r="266" spans="1:10" x14ac:dyDescent="0.35">
      <c r="A266" t="s">
        <v>396</v>
      </c>
      <c r="B266" s="4">
        <v>44942</v>
      </c>
      <c r="C266" t="s">
        <v>46</v>
      </c>
      <c r="D266" t="s">
        <v>31</v>
      </c>
      <c r="E266">
        <v>4</v>
      </c>
      <c r="F266">
        <v>20</v>
      </c>
      <c r="G266" cm="1">
        <f t="array" ref="G266">SALESTABLE[[#This Row],[Quantity]]*_xlfn.XLOOKUP(SALESTABLE[[#This Row],[Product_ID]],ProductsTable[Product_ID],ProductsTable[Unit_Price],WAASIU,0,1)</f>
        <v>692.56</v>
      </c>
      <c r="H266" cm="1">
        <f t="array" ref="H266">SALESTABLE[[#This Row],[Quantity]]*_xlfn.XLOOKUP(SALESTABLE[[#This Row],[Product_ID]],ProductsTable[Product_ID],ProductsTable[Cost_Price],WAASIU,0,1)</f>
        <v>401.16</v>
      </c>
      <c r="I266">
        <f>SALESTABLE[[#This Row],[Revenue]]-SALESTABLE[[#This Row],[COST]]</f>
        <v>291.39999999999992</v>
      </c>
      <c r="J266">
        <f>SALESTABLE[[#This Row],[PROFIT]]/SALESTABLE[[#This Row],[Revenue]]*100</f>
        <v>42.075776828000457</v>
      </c>
    </row>
    <row r="267" spans="1:10" x14ac:dyDescent="0.35">
      <c r="A267" t="s">
        <v>397</v>
      </c>
      <c r="B267" s="4">
        <v>45477</v>
      </c>
      <c r="C267" t="s">
        <v>48</v>
      </c>
      <c r="D267" t="s">
        <v>139</v>
      </c>
      <c r="E267">
        <v>5</v>
      </c>
      <c r="F267">
        <v>5</v>
      </c>
      <c r="G267" cm="1">
        <f t="array" ref="G267">SALESTABLE[[#This Row],[Quantity]]*_xlfn.XLOOKUP(SALESTABLE[[#This Row],[Product_ID]],ProductsTable[Product_ID],ProductsTable[Unit_Price],WAASIU,0,1)</f>
        <v>2285.5500000000002</v>
      </c>
      <c r="H267" cm="1">
        <f t="array" ref="H267">SALESTABLE[[#This Row],[Quantity]]*_xlfn.XLOOKUP(SALESTABLE[[#This Row],[Product_ID]],ProductsTable[Product_ID],ProductsTable[Cost_Price],WAASIU,0,1)</f>
        <v>1637.6</v>
      </c>
      <c r="I267">
        <f>SALESTABLE[[#This Row],[Revenue]]-SALESTABLE[[#This Row],[COST]]</f>
        <v>647.95000000000027</v>
      </c>
      <c r="J267">
        <f>SALESTABLE[[#This Row],[PROFIT]]/SALESTABLE[[#This Row],[Revenue]]*100</f>
        <v>28.349850145479216</v>
      </c>
    </row>
    <row r="268" spans="1:10" x14ac:dyDescent="0.35">
      <c r="A268" t="s">
        <v>398</v>
      </c>
      <c r="B268" s="4">
        <v>45009</v>
      </c>
      <c r="C268" t="s">
        <v>43</v>
      </c>
      <c r="D268" t="s">
        <v>133</v>
      </c>
      <c r="E268">
        <v>7</v>
      </c>
      <c r="F268">
        <v>20</v>
      </c>
      <c r="G268" cm="1">
        <f t="array" ref="G268">SALESTABLE[[#This Row],[Quantity]]*_xlfn.XLOOKUP(SALESTABLE[[#This Row],[Product_ID]],ProductsTable[Product_ID],ProductsTable[Unit_Price],WAASIU,0,1)</f>
        <v>2457</v>
      </c>
      <c r="H268" cm="1">
        <f t="array" ref="H268">SALESTABLE[[#This Row],[Quantity]]*_xlfn.XLOOKUP(SALESTABLE[[#This Row],[Product_ID]],ProductsTable[Product_ID],ProductsTable[Cost_Price],WAASIU,0,1)</f>
        <v>1635.4099999999999</v>
      </c>
      <c r="I268">
        <f>SALESTABLE[[#This Row],[Revenue]]-SALESTABLE[[#This Row],[COST]]</f>
        <v>821.59000000000015</v>
      </c>
      <c r="J268">
        <f>SALESTABLE[[#This Row],[PROFIT]]/SALESTABLE[[#This Row],[Revenue]]*100</f>
        <v>33.438746438746449</v>
      </c>
    </row>
    <row r="269" spans="1:10" x14ac:dyDescent="0.35">
      <c r="A269" t="s">
        <v>399</v>
      </c>
      <c r="B269" s="4">
        <v>44993</v>
      </c>
      <c r="C269" t="s">
        <v>174</v>
      </c>
      <c r="D269" t="s">
        <v>52</v>
      </c>
      <c r="E269">
        <v>2</v>
      </c>
      <c r="F269">
        <v>15</v>
      </c>
      <c r="G269" cm="1">
        <f t="array" ref="G269">SALESTABLE[[#This Row],[Quantity]]*_xlfn.XLOOKUP(SALESTABLE[[#This Row],[Product_ID]],ProductsTable[Product_ID],ProductsTable[Unit_Price],WAASIU,0,1)</f>
        <v>367.56</v>
      </c>
      <c r="H269" cm="1">
        <f t="array" ref="H269">SALESTABLE[[#This Row],[Quantity]]*_xlfn.XLOOKUP(SALESTABLE[[#This Row],[Product_ID]],ProductsTable[Product_ID],ProductsTable[Cost_Price],WAASIU,0,1)</f>
        <v>231.26</v>
      </c>
      <c r="I269">
        <f>SALESTABLE[[#This Row],[Revenue]]-SALESTABLE[[#This Row],[COST]]</f>
        <v>136.30000000000001</v>
      </c>
      <c r="J269">
        <f>SALESTABLE[[#This Row],[PROFIT]]/SALESTABLE[[#This Row],[Revenue]]*100</f>
        <v>37.082381107846338</v>
      </c>
    </row>
    <row r="270" spans="1:10" x14ac:dyDescent="0.35">
      <c r="A270" t="s">
        <v>400</v>
      </c>
      <c r="B270" s="4">
        <v>45543</v>
      </c>
      <c r="C270" t="s">
        <v>40</v>
      </c>
      <c r="D270" t="s">
        <v>31</v>
      </c>
      <c r="E270">
        <v>4</v>
      </c>
      <c r="F270">
        <v>0</v>
      </c>
      <c r="G270" cm="1">
        <f t="array" ref="G270">SALESTABLE[[#This Row],[Quantity]]*_xlfn.XLOOKUP(SALESTABLE[[#This Row],[Product_ID]],ProductsTable[Product_ID],ProductsTable[Unit_Price],WAASIU,0,1)</f>
        <v>692.56</v>
      </c>
      <c r="H270" cm="1">
        <f t="array" ref="H270">SALESTABLE[[#This Row],[Quantity]]*_xlfn.XLOOKUP(SALESTABLE[[#This Row],[Product_ID]],ProductsTable[Product_ID],ProductsTable[Cost_Price],WAASIU,0,1)</f>
        <v>401.16</v>
      </c>
      <c r="I270">
        <f>SALESTABLE[[#This Row],[Revenue]]-SALESTABLE[[#This Row],[COST]]</f>
        <v>291.39999999999992</v>
      </c>
      <c r="J270">
        <f>SALESTABLE[[#This Row],[PROFIT]]/SALESTABLE[[#This Row],[Revenue]]*100</f>
        <v>42.075776828000457</v>
      </c>
    </row>
    <row r="271" spans="1:10" x14ac:dyDescent="0.35">
      <c r="A271" t="s">
        <v>401</v>
      </c>
      <c r="B271" s="4">
        <v>45507</v>
      </c>
      <c r="C271" t="s">
        <v>161</v>
      </c>
      <c r="D271" t="s">
        <v>110</v>
      </c>
      <c r="E271">
        <v>19</v>
      </c>
      <c r="F271">
        <v>0</v>
      </c>
      <c r="G271" cm="1">
        <f t="array" ref="G271">SALESTABLE[[#This Row],[Quantity]]*_xlfn.XLOOKUP(SALESTABLE[[#This Row],[Product_ID]],ProductsTable[Product_ID],ProductsTable[Unit_Price],WAASIU,0,1)</f>
        <v>9335.08</v>
      </c>
      <c r="H271" cm="1">
        <f t="array" ref="H271">SALESTABLE[[#This Row],[Quantity]]*_xlfn.XLOOKUP(SALESTABLE[[#This Row],[Product_ID]],ProductsTable[Product_ID],ProductsTable[Cost_Price],WAASIU,0,1)</f>
        <v>5094.09</v>
      </c>
      <c r="I271">
        <f>SALESTABLE[[#This Row],[Revenue]]-SALESTABLE[[#This Row],[COST]]</f>
        <v>4240.99</v>
      </c>
      <c r="J271">
        <f>SALESTABLE[[#This Row],[PROFIT]]/SALESTABLE[[#This Row],[Revenue]]*100</f>
        <v>45.430676544818041</v>
      </c>
    </row>
    <row r="272" spans="1:10" x14ac:dyDescent="0.35">
      <c r="A272" t="s">
        <v>402</v>
      </c>
      <c r="B272" s="4">
        <v>45647</v>
      </c>
      <c r="C272" t="s">
        <v>209</v>
      </c>
      <c r="D272" t="s">
        <v>127</v>
      </c>
      <c r="E272">
        <v>2</v>
      </c>
      <c r="F272">
        <v>0</v>
      </c>
      <c r="G272" cm="1">
        <f t="array" ref="G272">SALESTABLE[[#This Row],[Quantity]]*_xlfn.XLOOKUP(SALESTABLE[[#This Row],[Product_ID]],ProductsTable[Product_ID],ProductsTable[Unit_Price],WAASIU,0,1)</f>
        <v>184.14</v>
      </c>
      <c r="H272" cm="1">
        <f t="array" ref="H272">SALESTABLE[[#This Row],[Quantity]]*_xlfn.XLOOKUP(SALESTABLE[[#This Row],[Product_ID]],ProductsTable[Product_ID],ProductsTable[Cost_Price],WAASIU,0,1)</f>
        <v>112.72</v>
      </c>
      <c r="I272">
        <f>SALESTABLE[[#This Row],[Revenue]]-SALESTABLE[[#This Row],[COST]]</f>
        <v>71.419999999999987</v>
      </c>
      <c r="J272">
        <f>SALESTABLE[[#This Row],[PROFIT]]/SALESTABLE[[#This Row],[Revenue]]*100</f>
        <v>38.785706527642006</v>
      </c>
    </row>
    <row r="273" spans="1:10" x14ac:dyDescent="0.35">
      <c r="A273" t="s">
        <v>403</v>
      </c>
      <c r="B273" s="4">
        <v>45077</v>
      </c>
      <c r="C273" t="s">
        <v>174</v>
      </c>
      <c r="D273" t="s">
        <v>57</v>
      </c>
      <c r="E273">
        <v>5</v>
      </c>
      <c r="F273">
        <v>20</v>
      </c>
      <c r="G273" cm="1">
        <f t="array" ref="G273">SALESTABLE[[#This Row],[Quantity]]*_xlfn.XLOOKUP(SALESTABLE[[#This Row],[Product_ID]],ProductsTable[Product_ID],ProductsTable[Unit_Price],WAASIU,0,1)</f>
        <v>794.15000000000009</v>
      </c>
      <c r="H273" cm="1">
        <f t="array" ref="H273">SALESTABLE[[#This Row],[Quantity]]*_xlfn.XLOOKUP(SALESTABLE[[#This Row],[Product_ID]],ProductsTable[Product_ID],ProductsTable[Cost_Price],WAASIU,0,1)</f>
        <v>634.70000000000005</v>
      </c>
      <c r="I273">
        <f>SALESTABLE[[#This Row],[Revenue]]-SALESTABLE[[#This Row],[COST]]</f>
        <v>159.45000000000005</v>
      </c>
      <c r="J273">
        <f>SALESTABLE[[#This Row],[PROFIT]]/SALESTABLE[[#This Row],[Revenue]]*100</f>
        <v>20.07807089340805</v>
      </c>
    </row>
    <row r="274" spans="1:10" x14ac:dyDescent="0.35">
      <c r="A274" t="s">
        <v>404</v>
      </c>
      <c r="B274" s="4">
        <v>45497</v>
      </c>
      <c r="C274" t="s">
        <v>129</v>
      </c>
      <c r="D274" t="s">
        <v>11</v>
      </c>
      <c r="E274">
        <v>11</v>
      </c>
      <c r="F274">
        <v>15</v>
      </c>
      <c r="G274" cm="1">
        <f t="array" ref="G274">SALESTABLE[[#This Row],[Quantity]]*_xlfn.XLOOKUP(SALESTABLE[[#This Row],[Product_ID]],ProductsTable[Product_ID],ProductsTable[Unit_Price],WAASIU,0,1)</f>
        <v>5249.9699999999993</v>
      </c>
      <c r="H274" cm="1">
        <f t="array" ref="H274">SALESTABLE[[#This Row],[Quantity]]*_xlfn.XLOOKUP(SALESTABLE[[#This Row],[Product_ID]],ProductsTable[Product_ID],ProductsTable[Cost_Price],WAASIU,0,1)</f>
        <v>3287.24</v>
      </c>
      <c r="I274">
        <f>SALESTABLE[[#This Row],[Revenue]]-SALESTABLE[[#This Row],[COST]]</f>
        <v>1962.7299999999996</v>
      </c>
      <c r="J274">
        <f>SALESTABLE[[#This Row],[PROFIT]]/SALESTABLE[[#This Row],[Revenue]]*100</f>
        <v>37.385546965030272</v>
      </c>
    </row>
    <row r="275" spans="1:10" x14ac:dyDescent="0.35">
      <c r="A275" t="s">
        <v>405</v>
      </c>
      <c r="B275" s="4">
        <v>45049</v>
      </c>
      <c r="C275" t="s">
        <v>190</v>
      </c>
      <c r="D275" t="s">
        <v>127</v>
      </c>
      <c r="E275">
        <v>15</v>
      </c>
      <c r="F275">
        <v>5</v>
      </c>
      <c r="G275" cm="1">
        <f t="array" ref="G275">SALESTABLE[[#This Row],[Quantity]]*_xlfn.XLOOKUP(SALESTABLE[[#This Row],[Product_ID]],ProductsTable[Product_ID],ProductsTable[Unit_Price],WAASIU,0,1)</f>
        <v>1381.05</v>
      </c>
      <c r="H275" cm="1">
        <f t="array" ref="H275">SALESTABLE[[#This Row],[Quantity]]*_xlfn.XLOOKUP(SALESTABLE[[#This Row],[Product_ID]],ProductsTable[Product_ID],ProductsTable[Cost_Price],WAASIU,0,1)</f>
        <v>845.4</v>
      </c>
      <c r="I275">
        <f>SALESTABLE[[#This Row],[Revenue]]-SALESTABLE[[#This Row],[COST]]</f>
        <v>535.65</v>
      </c>
      <c r="J275">
        <f>SALESTABLE[[#This Row],[PROFIT]]/SALESTABLE[[#This Row],[Revenue]]*100</f>
        <v>38.785706527642013</v>
      </c>
    </row>
    <row r="276" spans="1:10" x14ac:dyDescent="0.35">
      <c r="A276" t="s">
        <v>406</v>
      </c>
      <c r="B276" s="4">
        <v>45341</v>
      </c>
      <c r="C276" t="s">
        <v>90</v>
      </c>
      <c r="D276" t="s">
        <v>19</v>
      </c>
      <c r="E276">
        <v>7</v>
      </c>
      <c r="F276">
        <v>5</v>
      </c>
      <c r="G276" cm="1">
        <f t="array" ref="G276">SALESTABLE[[#This Row],[Quantity]]*_xlfn.XLOOKUP(SALESTABLE[[#This Row],[Product_ID]],ProductsTable[Product_ID],ProductsTable[Unit_Price],WAASIU,0,1)</f>
        <v>425.32</v>
      </c>
      <c r="H276" cm="1">
        <f t="array" ref="H276">SALESTABLE[[#This Row],[Quantity]]*_xlfn.XLOOKUP(SALESTABLE[[#This Row],[Product_ID]],ProductsTable[Product_ID],ProductsTable[Cost_Price],WAASIU,0,1)</f>
        <v>283.15000000000003</v>
      </c>
      <c r="I276">
        <f>SALESTABLE[[#This Row],[Revenue]]-SALESTABLE[[#This Row],[COST]]</f>
        <v>142.16999999999996</v>
      </c>
      <c r="J276">
        <f>SALESTABLE[[#This Row],[PROFIT]]/SALESTABLE[[#This Row],[Revenue]]*100</f>
        <v>33.426596445029617</v>
      </c>
    </row>
    <row r="277" spans="1:10" x14ac:dyDescent="0.35">
      <c r="A277" t="s">
        <v>407</v>
      </c>
      <c r="B277" s="4">
        <v>45488</v>
      </c>
      <c r="C277" t="s">
        <v>90</v>
      </c>
      <c r="D277" t="s">
        <v>8</v>
      </c>
      <c r="E277">
        <v>10</v>
      </c>
      <c r="F277">
        <v>0</v>
      </c>
      <c r="G277" cm="1">
        <f t="array" ref="G277">SALESTABLE[[#This Row],[Quantity]]*_xlfn.XLOOKUP(SALESTABLE[[#This Row],[Product_ID]],ProductsTable[Product_ID],ProductsTable[Unit_Price],WAASIU,0,1)</f>
        <v>3363.2</v>
      </c>
      <c r="H277" cm="1">
        <f t="array" ref="H277">SALESTABLE[[#This Row],[Quantity]]*_xlfn.XLOOKUP(SALESTABLE[[#This Row],[Product_ID]],ProductsTable[Product_ID],ProductsTable[Cost_Price],WAASIU,0,1)</f>
        <v>2277.8000000000002</v>
      </c>
      <c r="I277">
        <f>SALESTABLE[[#This Row],[Revenue]]-SALESTABLE[[#This Row],[COST]]</f>
        <v>1085.3999999999996</v>
      </c>
      <c r="J277">
        <f>SALESTABLE[[#This Row],[PROFIT]]/SALESTABLE[[#This Row],[Revenue]]*100</f>
        <v>32.272835394862028</v>
      </c>
    </row>
    <row r="278" spans="1:10" x14ac:dyDescent="0.35">
      <c r="A278" t="s">
        <v>408</v>
      </c>
      <c r="B278" s="4">
        <v>45432</v>
      </c>
      <c r="C278" t="s">
        <v>54</v>
      </c>
      <c r="D278" t="s">
        <v>93</v>
      </c>
      <c r="E278">
        <v>3</v>
      </c>
      <c r="F278">
        <v>0</v>
      </c>
      <c r="G278" cm="1">
        <f t="array" ref="G278">SALESTABLE[[#This Row],[Quantity]]*_xlfn.XLOOKUP(SALESTABLE[[#This Row],[Product_ID]],ProductsTable[Product_ID],ProductsTable[Unit_Price],WAASIU,0,1)</f>
        <v>642.09</v>
      </c>
      <c r="H278" cm="1">
        <f t="array" ref="H278">SALESTABLE[[#This Row],[Quantity]]*_xlfn.XLOOKUP(SALESTABLE[[#This Row],[Product_ID]],ProductsTable[Product_ID],ProductsTable[Cost_Price],WAASIU,0,1)</f>
        <v>470.13</v>
      </c>
      <c r="I278">
        <f>SALESTABLE[[#This Row],[Revenue]]-SALESTABLE[[#This Row],[COST]]</f>
        <v>171.96000000000004</v>
      </c>
      <c r="J278">
        <f>SALESTABLE[[#This Row],[PROFIT]]/SALESTABLE[[#This Row],[Revenue]]*100</f>
        <v>26.781292342195023</v>
      </c>
    </row>
    <row r="279" spans="1:10" x14ac:dyDescent="0.35">
      <c r="A279" t="s">
        <v>409</v>
      </c>
      <c r="B279" s="4">
        <v>45092</v>
      </c>
      <c r="C279" t="s">
        <v>48</v>
      </c>
      <c r="D279" t="s">
        <v>41</v>
      </c>
      <c r="E279">
        <v>3</v>
      </c>
      <c r="F279">
        <v>15</v>
      </c>
      <c r="G279" cm="1">
        <f t="array" ref="G279">SALESTABLE[[#This Row],[Quantity]]*_xlfn.XLOOKUP(SALESTABLE[[#This Row],[Product_ID]],ProductsTable[Product_ID],ProductsTable[Unit_Price],WAASIU,0,1)</f>
        <v>1277.25</v>
      </c>
      <c r="H279" cm="1">
        <f t="array" ref="H279">SALESTABLE[[#This Row],[Quantity]]*_xlfn.XLOOKUP(SALESTABLE[[#This Row],[Product_ID]],ProductsTable[Product_ID],ProductsTable[Cost_Price],WAASIU,0,1)</f>
        <v>729.39</v>
      </c>
      <c r="I279">
        <f>SALESTABLE[[#This Row],[Revenue]]-SALESTABLE[[#This Row],[COST]]</f>
        <v>547.86</v>
      </c>
      <c r="J279">
        <f>SALESTABLE[[#This Row],[PROFIT]]/SALESTABLE[[#This Row],[Revenue]]*100</f>
        <v>42.89371697005285</v>
      </c>
    </row>
    <row r="280" spans="1:10" x14ac:dyDescent="0.35">
      <c r="A280" t="s">
        <v>410</v>
      </c>
      <c r="B280" s="4">
        <v>45463</v>
      </c>
      <c r="C280" t="s">
        <v>289</v>
      </c>
      <c r="D280" t="s">
        <v>34</v>
      </c>
      <c r="E280">
        <v>9</v>
      </c>
      <c r="F280">
        <v>0</v>
      </c>
      <c r="G280" cm="1">
        <f t="array" ref="G280">SALESTABLE[[#This Row],[Quantity]]*_xlfn.XLOOKUP(SALESTABLE[[#This Row],[Product_ID]],ProductsTable[Product_ID],ProductsTable[Unit_Price],WAASIU,0,1)</f>
        <v>2958.75</v>
      </c>
      <c r="H280" cm="1">
        <f t="array" ref="H280">SALESTABLE[[#This Row],[Quantity]]*_xlfn.XLOOKUP(SALESTABLE[[#This Row],[Product_ID]],ProductsTable[Product_ID],ProductsTable[Cost_Price],WAASIU,0,1)</f>
        <v>2098.62</v>
      </c>
      <c r="I280">
        <f>SALESTABLE[[#This Row],[Revenue]]-SALESTABLE[[#This Row],[COST]]</f>
        <v>860.13000000000011</v>
      </c>
      <c r="J280">
        <f>SALESTABLE[[#This Row],[PROFIT]]/SALESTABLE[[#This Row],[Revenue]]*100</f>
        <v>29.070722433460077</v>
      </c>
    </row>
    <row r="281" spans="1:10" x14ac:dyDescent="0.35">
      <c r="A281" t="s">
        <v>411</v>
      </c>
      <c r="B281" s="4">
        <v>45273</v>
      </c>
      <c r="C281" t="s">
        <v>76</v>
      </c>
      <c r="D281" t="s">
        <v>19</v>
      </c>
      <c r="E281">
        <v>18</v>
      </c>
      <c r="F281">
        <v>5</v>
      </c>
      <c r="G281" cm="1">
        <f t="array" ref="G281">SALESTABLE[[#This Row],[Quantity]]*_xlfn.XLOOKUP(SALESTABLE[[#This Row],[Product_ID]],ProductsTable[Product_ID],ProductsTable[Unit_Price],WAASIU,0,1)</f>
        <v>1093.68</v>
      </c>
      <c r="H281" cm="1">
        <f t="array" ref="H281">SALESTABLE[[#This Row],[Quantity]]*_xlfn.XLOOKUP(SALESTABLE[[#This Row],[Product_ID]],ProductsTable[Product_ID],ProductsTable[Cost_Price],WAASIU,0,1)</f>
        <v>728.1</v>
      </c>
      <c r="I281">
        <f>SALESTABLE[[#This Row],[Revenue]]-SALESTABLE[[#This Row],[COST]]</f>
        <v>365.58000000000004</v>
      </c>
      <c r="J281">
        <f>SALESTABLE[[#This Row],[PROFIT]]/SALESTABLE[[#This Row],[Revenue]]*100</f>
        <v>33.426596445029624</v>
      </c>
    </row>
    <row r="282" spans="1:10" x14ac:dyDescent="0.35">
      <c r="A282" t="s">
        <v>412</v>
      </c>
      <c r="B282" s="4">
        <v>45047</v>
      </c>
      <c r="C282" t="s">
        <v>190</v>
      </c>
      <c r="D282" t="s">
        <v>34</v>
      </c>
      <c r="E282">
        <v>19</v>
      </c>
      <c r="F282">
        <v>15</v>
      </c>
      <c r="G282" cm="1">
        <f t="array" ref="G282">SALESTABLE[[#This Row],[Quantity]]*_xlfn.XLOOKUP(SALESTABLE[[#This Row],[Product_ID]],ProductsTable[Product_ID],ProductsTable[Unit_Price],WAASIU,0,1)</f>
        <v>6246.25</v>
      </c>
      <c r="H282" cm="1">
        <f t="array" ref="H282">SALESTABLE[[#This Row],[Quantity]]*_xlfn.XLOOKUP(SALESTABLE[[#This Row],[Product_ID]],ProductsTable[Product_ID],ProductsTable[Cost_Price],WAASIU,0,1)</f>
        <v>4430.42</v>
      </c>
      <c r="I282">
        <f>SALESTABLE[[#This Row],[Revenue]]-SALESTABLE[[#This Row],[COST]]</f>
        <v>1815.83</v>
      </c>
      <c r="J282">
        <f>SALESTABLE[[#This Row],[PROFIT]]/SALESTABLE[[#This Row],[Revenue]]*100</f>
        <v>29.070722433460073</v>
      </c>
    </row>
    <row r="283" spans="1:10" x14ac:dyDescent="0.35">
      <c r="A283" t="s">
        <v>413</v>
      </c>
      <c r="B283" s="4">
        <v>45125</v>
      </c>
      <c r="C283" t="s">
        <v>33</v>
      </c>
      <c r="D283" t="s">
        <v>25</v>
      </c>
      <c r="E283">
        <v>10</v>
      </c>
      <c r="F283">
        <v>0</v>
      </c>
      <c r="G283" cm="1">
        <f t="array" ref="G283">SALESTABLE[[#This Row],[Quantity]]*_xlfn.XLOOKUP(SALESTABLE[[#This Row],[Product_ID]],ProductsTable[Product_ID],ProductsTable[Unit_Price],WAASIU,0,1)</f>
        <v>1777.6</v>
      </c>
      <c r="H283" cm="1">
        <f t="array" ref="H283">SALESTABLE[[#This Row],[Quantity]]*_xlfn.XLOOKUP(SALESTABLE[[#This Row],[Product_ID]],ProductsTable[Product_ID],ProductsTable[Cost_Price],WAASIU,0,1)</f>
        <v>918.8</v>
      </c>
      <c r="I283">
        <f>SALESTABLE[[#This Row],[Revenue]]-SALESTABLE[[#This Row],[COST]]</f>
        <v>858.8</v>
      </c>
      <c r="J283">
        <f>SALESTABLE[[#This Row],[PROFIT]]/SALESTABLE[[#This Row],[Revenue]]*100</f>
        <v>48.312331233123309</v>
      </c>
    </row>
    <row r="284" spans="1:10" x14ac:dyDescent="0.35">
      <c r="A284" t="s">
        <v>414</v>
      </c>
      <c r="B284" s="4">
        <v>45131</v>
      </c>
      <c r="C284" t="s">
        <v>415</v>
      </c>
      <c r="D284" t="s">
        <v>13</v>
      </c>
      <c r="E284">
        <v>4</v>
      </c>
      <c r="F284">
        <v>20</v>
      </c>
      <c r="G284" cm="1">
        <f t="array" ref="G284">SALESTABLE[[#This Row],[Quantity]]*_xlfn.XLOOKUP(SALESTABLE[[#This Row],[Product_ID]],ProductsTable[Product_ID],ProductsTable[Unit_Price],WAASIU,0,1)</f>
        <v>1740.72</v>
      </c>
      <c r="H284" cm="1">
        <f t="array" ref="H284">SALESTABLE[[#This Row],[Quantity]]*_xlfn.XLOOKUP(SALESTABLE[[#This Row],[Product_ID]],ProductsTable[Product_ID],ProductsTable[Cost_Price],WAASIU,0,1)</f>
        <v>923.8</v>
      </c>
      <c r="I284">
        <f>SALESTABLE[[#This Row],[Revenue]]-SALESTABLE[[#This Row],[COST]]</f>
        <v>816.92000000000007</v>
      </c>
      <c r="J284">
        <f>SALESTABLE[[#This Row],[PROFIT]]/SALESTABLE[[#This Row],[Revenue]]*100</f>
        <v>46.930005974539277</v>
      </c>
    </row>
    <row r="285" spans="1:10" x14ac:dyDescent="0.35">
      <c r="A285" t="s">
        <v>416</v>
      </c>
      <c r="B285" s="4">
        <v>45215</v>
      </c>
      <c r="C285" t="s">
        <v>65</v>
      </c>
      <c r="D285" t="s">
        <v>248</v>
      </c>
      <c r="E285">
        <v>10</v>
      </c>
      <c r="F285">
        <v>15</v>
      </c>
      <c r="G285" cm="1">
        <f t="array" ref="G285">SALESTABLE[[#This Row],[Quantity]]*_xlfn.XLOOKUP(SALESTABLE[[#This Row],[Product_ID]],ProductsTable[Product_ID],ProductsTable[Unit_Price],WAASIU,0,1)</f>
        <v>1867.1000000000001</v>
      </c>
      <c r="H285" cm="1">
        <f t="array" ref="H285">SALESTABLE[[#This Row],[Quantity]]*_xlfn.XLOOKUP(SALESTABLE[[#This Row],[Product_ID]],ProductsTable[Product_ID],ProductsTable[Cost_Price],WAASIU,0,1)</f>
        <v>1251.9000000000001</v>
      </c>
      <c r="I285">
        <f>SALESTABLE[[#This Row],[Revenue]]-SALESTABLE[[#This Row],[COST]]</f>
        <v>615.20000000000005</v>
      </c>
      <c r="J285">
        <f>SALESTABLE[[#This Row],[PROFIT]]/SALESTABLE[[#This Row],[Revenue]]*100</f>
        <v>32.949493867495043</v>
      </c>
    </row>
    <row r="286" spans="1:10" x14ac:dyDescent="0.35">
      <c r="A286" t="s">
        <v>417</v>
      </c>
      <c r="B286" s="4">
        <v>45240</v>
      </c>
      <c r="C286" t="s">
        <v>40</v>
      </c>
      <c r="D286" t="s">
        <v>41</v>
      </c>
      <c r="E286">
        <v>2</v>
      </c>
      <c r="F286">
        <v>10</v>
      </c>
      <c r="G286" cm="1">
        <f t="array" ref="G286">SALESTABLE[[#This Row],[Quantity]]*_xlfn.XLOOKUP(SALESTABLE[[#This Row],[Product_ID]],ProductsTable[Product_ID],ProductsTable[Unit_Price],WAASIU,0,1)</f>
        <v>851.5</v>
      </c>
      <c r="H286" cm="1">
        <f t="array" ref="H286">SALESTABLE[[#This Row],[Quantity]]*_xlfn.XLOOKUP(SALESTABLE[[#This Row],[Product_ID]],ProductsTable[Product_ID],ProductsTable[Cost_Price],WAASIU,0,1)</f>
        <v>486.26</v>
      </c>
      <c r="I286">
        <f>SALESTABLE[[#This Row],[Revenue]]-SALESTABLE[[#This Row],[COST]]</f>
        <v>365.24</v>
      </c>
      <c r="J286">
        <f>SALESTABLE[[#This Row],[PROFIT]]/SALESTABLE[[#This Row],[Revenue]]*100</f>
        <v>42.89371697005285</v>
      </c>
    </row>
    <row r="287" spans="1:10" x14ac:dyDescent="0.35">
      <c r="A287" t="s">
        <v>418</v>
      </c>
      <c r="B287" s="4">
        <v>44944</v>
      </c>
      <c r="C287" t="s">
        <v>112</v>
      </c>
      <c r="D287" t="s">
        <v>44</v>
      </c>
      <c r="E287">
        <v>18</v>
      </c>
      <c r="F287">
        <v>5</v>
      </c>
      <c r="G287" cm="1">
        <f t="array" ref="G287">SALESTABLE[[#This Row],[Quantity]]*_xlfn.XLOOKUP(SALESTABLE[[#This Row],[Product_ID]],ProductsTable[Product_ID],ProductsTable[Unit_Price],WAASIU,0,1)</f>
        <v>2415.42</v>
      </c>
      <c r="H287" cm="1">
        <f t="array" ref="H287">SALESTABLE[[#This Row],[Quantity]]*_xlfn.XLOOKUP(SALESTABLE[[#This Row],[Product_ID]],ProductsTable[Product_ID],ProductsTable[Cost_Price],WAASIU,0,1)</f>
        <v>1499.7599999999998</v>
      </c>
      <c r="I287">
        <f>SALESTABLE[[#This Row],[Revenue]]-SALESTABLE[[#This Row],[COST]]</f>
        <v>915.66000000000031</v>
      </c>
      <c r="J287">
        <f>SALESTABLE[[#This Row],[PROFIT]]/SALESTABLE[[#This Row],[Revenue]]*100</f>
        <v>37.908935092033694</v>
      </c>
    </row>
    <row r="288" spans="1:10" x14ac:dyDescent="0.35">
      <c r="A288" t="s">
        <v>419</v>
      </c>
      <c r="B288" s="4">
        <v>44932</v>
      </c>
      <c r="C288" t="s">
        <v>181</v>
      </c>
      <c r="D288" t="s">
        <v>49</v>
      </c>
      <c r="E288">
        <v>14</v>
      </c>
      <c r="F288">
        <v>20</v>
      </c>
      <c r="G288" cm="1">
        <f t="array" ref="G288">SALESTABLE[[#This Row],[Quantity]]*_xlfn.XLOOKUP(SALESTABLE[[#This Row],[Product_ID]],ProductsTable[Product_ID],ProductsTable[Unit_Price],WAASIU,0,1)</f>
        <v>3214.8199999999997</v>
      </c>
      <c r="H288" cm="1">
        <f t="array" ref="H288">SALESTABLE[[#This Row],[Quantity]]*_xlfn.XLOOKUP(SALESTABLE[[#This Row],[Product_ID]],ProductsTable[Product_ID],ProductsTable[Cost_Price],WAASIU,0,1)</f>
        <v>1839.8799999999999</v>
      </c>
      <c r="I288">
        <f>SALESTABLE[[#This Row],[Revenue]]-SALESTABLE[[#This Row],[COST]]</f>
        <v>1374.9399999999998</v>
      </c>
      <c r="J288">
        <f>SALESTABLE[[#This Row],[PROFIT]]/SALESTABLE[[#This Row],[Revenue]]*100</f>
        <v>42.768801985803243</v>
      </c>
    </row>
    <row r="289" spans="1:10" x14ac:dyDescent="0.35">
      <c r="A289" t="s">
        <v>420</v>
      </c>
      <c r="B289" s="4">
        <v>45530</v>
      </c>
      <c r="C289" t="s">
        <v>165</v>
      </c>
      <c r="D289" t="s">
        <v>127</v>
      </c>
      <c r="E289">
        <v>18</v>
      </c>
      <c r="F289">
        <v>5</v>
      </c>
      <c r="G289" cm="1">
        <f t="array" ref="G289">SALESTABLE[[#This Row],[Quantity]]*_xlfn.XLOOKUP(SALESTABLE[[#This Row],[Product_ID]],ProductsTable[Product_ID],ProductsTable[Unit_Price],WAASIU,0,1)</f>
        <v>1657.2599999999998</v>
      </c>
      <c r="H289" cm="1">
        <f t="array" ref="H289">SALESTABLE[[#This Row],[Quantity]]*_xlfn.XLOOKUP(SALESTABLE[[#This Row],[Product_ID]],ProductsTable[Product_ID],ProductsTable[Cost_Price],WAASIU,0,1)</f>
        <v>1014.48</v>
      </c>
      <c r="I289">
        <f>SALESTABLE[[#This Row],[Revenue]]-SALESTABLE[[#This Row],[COST]]</f>
        <v>642.77999999999975</v>
      </c>
      <c r="J289">
        <f>SALESTABLE[[#This Row],[PROFIT]]/SALESTABLE[[#This Row],[Revenue]]*100</f>
        <v>38.785706527641999</v>
      </c>
    </row>
    <row r="290" spans="1:10" x14ac:dyDescent="0.35">
      <c r="A290" t="s">
        <v>421</v>
      </c>
      <c r="B290" s="4">
        <v>45016</v>
      </c>
      <c r="C290" t="s">
        <v>177</v>
      </c>
      <c r="D290" t="s">
        <v>28</v>
      </c>
      <c r="E290">
        <v>12</v>
      </c>
      <c r="F290">
        <v>0</v>
      </c>
      <c r="G290" cm="1">
        <f t="array" ref="G290">SALESTABLE[[#This Row],[Quantity]]*_xlfn.XLOOKUP(SALESTABLE[[#This Row],[Product_ID]],ProductsTable[Product_ID],ProductsTable[Unit_Price],WAASIU,0,1)</f>
        <v>5105.76</v>
      </c>
      <c r="H290" cm="1">
        <f t="array" ref="H290">SALESTABLE[[#This Row],[Quantity]]*_xlfn.XLOOKUP(SALESTABLE[[#This Row],[Product_ID]],ProductsTable[Product_ID],ProductsTable[Cost_Price],WAASIU,0,1)</f>
        <v>2801.7599999999998</v>
      </c>
      <c r="I290">
        <f>SALESTABLE[[#This Row],[Revenue]]-SALESTABLE[[#This Row],[COST]]</f>
        <v>2304.0000000000005</v>
      </c>
      <c r="J290">
        <f>SALESTABLE[[#This Row],[PROFIT]]/SALESTABLE[[#This Row],[Revenue]]*100</f>
        <v>45.125505311648027</v>
      </c>
    </row>
    <row r="291" spans="1:10" x14ac:dyDescent="0.35">
      <c r="A291" t="s">
        <v>422</v>
      </c>
      <c r="B291" s="4">
        <v>45086</v>
      </c>
      <c r="C291" t="s">
        <v>142</v>
      </c>
      <c r="D291" t="s">
        <v>100</v>
      </c>
      <c r="E291">
        <v>20</v>
      </c>
      <c r="F291">
        <v>5</v>
      </c>
      <c r="G291" cm="1">
        <f t="array" ref="G291">SALESTABLE[[#This Row],[Quantity]]*_xlfn.XLOOKUP(SALESTABLE[[#This Row],[Product_ID]],ProductsTable[Product_ID],ProductsTable[Unit_Price],WAASIU,0,1)</f>
        <v>8186.4</v>
      </c>
      <c r="H291" cm="1">
        <f t="array" ref="H291">SALESTABLE[[#This Row],[Quantity]]*_xlfn.XLOOKUP(SALESTABLE[[#This Row],[Product_ID]],ProductsTable[Product_ID],ProductsTable[Cost_Price],WAASIU,0,1)</f>
        <v>4253</v>
      </c>
      <c r="I291">
        <f>SALESTABLE[[#This Row],[Revenue]]-SALESTABLE[[#This Row],[COST]]</f>
        <v>3933.3999999999996</v>
      </c>
      <c r="J291">
        <f>SALESTABLE[[#This Row],[PROFIT]]/SALESTABLE[[#This Row],[Revenue]]*100</f>
        <v>48.047982018958265</v>
      </c>
    </row>
    <row r="292" spans="1:10" x14ac:dyDescent="0.35">
      <c r="A292" t="s">
        <v>423</v>
      </c>
      <c r="B292" s="4">
        <v>45492</v>
      </c>
      <c r="C292" t="s">
        <v>81</v>
      </c>
      <c r="D292" t="s">
        <v>25</v>
      </c>
      <c r="E292">
        <v>2</v>
      </c>
      <c r="F292">
        <v>0</v>
      </c>
      <c r="G292" cm="1">
        <f t="array" ref="G292">SALESTABLE[[#This Row],[Quantity]]*_xlfn.XLOOKUP(SALESTABLE[[#This Row],[Product_ID]],ProductsTable[Product_ID],ProductsTable[Unit_Price],WAASIU,0,1)</f>
        <v>355.52</v>
      </c>
      <c r="H292" cm="1">
        <f t="array" ref="H292">SALESTABLE[[#This Row],[Quantity]]*_xlfn.XLOOKUP(SALESTABLE[[#This Row],[Product_ID]],ProductsTable[Product_ID],ProductsTable[Cost_Price],WAASIU,0,1)</f>
        <v>183.76</v>
      </c>
      <c r="I292">
        <f>SALESTABLE[[#This Row],[Revenue]]-SALESTABLE[[#This Row],[COST]]</f>
        <v>171.76</v>
      </c>
      <c r="J292">
        <f>SALESTABLE[[#This Row],[PROFIT]]/SALESTABLE[[#This Row],[Revenue]]*100</f>
        <v>48.312331233123309</v>
      </c>
    </row>
    <row r="293" spans="1:10" x14ac:dyDescent="0.35">
      <c r="A293" t="s">
        <v>424</v>
      </c>
      <c r="B293" s="4">
        <v>45117</v>
      </c>
      <c r="C293" t="s">
        <v>348</v>
      </c>
      <c r="D293" t="s">
        <v>110</v>
      </c>
      <c r="E293">
        <v>20</v>
      </c>
      <c r="F293">
        <v>0</v>
      </c>
      <c r="G293" cm="1">
        <f t="array" ref="G293">SALESTABLE[[#This Row],[Quantity]]*_xlfn.XLOOKUP(SALESTABLE[[#This Row],[Product_ID]],ProductsTable[Product_ID],ProductsTable[Unit_Price],WAASIU,0,1)</f>
        <v>9826.4</v>
      </c>
      <c r="H293" cm="1">
        <f t="array" ref="H293">SALESTABLE[[#This Row],[Quantity]]*_xlfn.XLOOKUP(SALESTABLE[[#This Row],[Product_ID]],ProductsTable[Product_ID],ProductsTable[Cost_Price],WAASIU,0,1)</f>
        <v>5362.2000000000007</v>
      </c>
      <c r="I293">
        <f>SALESTABLE[[#This Row],[Revenue]]-SALESTABLE[[#This Row],[COST]]</f>
        <v>4464.1999999999989</v>
      </c>
      <c r="J293">
        <f>SALESTABLE[[#This Row],[PROFIT]]/SALESTABLE[[#This Row],[Revenue]]*100</f>
        <v>45.430676544818034</v>
      </c>
    </row>
    <row r="294" spans="1:10" x14ac:dyDescent="0.35">
      <c r="A294" t="s">
        <v>425</v>
      </c>
      <c r="B294" s="4">
        <v>45150</v>
      </c>
      <c r="C294" t="s">
        <v>48</v>
      </c>
      <c r="D294" t="s">
        <v>16</v>
      </c>
      <c r="E294">
        <v>20</v>
      </c>
      <c r="F294">
        <v>10</v>
      </c>
      <c r="G294" cm="1">
        <f t="array" ref="G294">SALESTABLE[[#This Row],[Quantity]]*_xlfn.XLOOKUP(SALESTABLE[[#This Row],[Product_ID]],ProductsTable[Product_ID],ProductsTable[Unit_Price],WAASIU,0,1)</f>
        <v>7243.4000000000005</v>
      </c>
      <c r="H294" cm="1">
        <f t="array" ref="H294">SALESTABLE[[#This Row],[Quantity]]*_xlfn.XLOOKUP(SALESTABLE[[#This Row],[Product_ID]],ProductsTable[Product_ID],ProductsTable[Cost_Price],WAASIU,0,1)</f>
        <v>4667.6000000000004</v>
      </c>
      <c r="I294">
        <f>SALESTABLE[[#This Row],[Revenue]]-SALESTABLE[[#This Row],[COST]]</f>
        <v>2575.8000000000002</v>
      </c>
      <c r="J294">
        <f>SALESTABLE[[#This Row],[PROFIT]]/SALESTABLE[[#This Row],[Revenue]]*100</f>
        <v>35.560648314327523</v>
      </c>
    </row>
    <row r="295" spans="1:10" x14ac:dyDescent="0.35">
      <c r="A295" t="s">
        <v>426</v>
      </c>
      <c r="B295" s="4">
        <v>45481</v>
      </c>
      <c r="C295" t="s">
        <v>146</v>
      </c>
      <c r="D295" t="s">
        <v>133</v>
      </c>
      <c r="E295">
        <v>20</v>
      </c>
      <c r="F295">
        <v>20</v>
      </c>
      <c r="G295" cm="1">
        <f t="array" ref="G295">SALESTABLE[[#This Row],[Quantity]]*_xlfn.XLOOKUP(SALESTABLE[[#This Row],[Product_ID]],ProductsTable[Product_ID],ProductsTable[Unit_Price],WAASIU,0,1)</f>
        <v>7020</v>
      </c>
      <c r="H295" cm="1">
        <f t="array" ref="H295">SALESTABLE[[#This Row],[Quantity]]*_xlfn.XLOOKUP(SALESTABLE[[#This Row],[Product_ID]],ProductsTable[Product_ID],ProductsTable[Cost_Price],WAASIU,0,1)</f>
        <v>4672.6000000000004</v>
      </c>
      <c r="I295">
        <f>SALESTABLE[[#This Row],[Revenue]]-SALESTABLE[[#This Row],[COST]]</f>
        <v>2347.3999999999996</v>
      </c>
      <c r="J295">
        <f>SALESTABLE[[#This Row],[PROFIT]]/SALESTABLE[[#This Row],[Revenue]]*100</f>
        <v>33.438746438746435</v>
      </c>
    </row>
    <row r="296" spans="1:10" x14ac:dyDescent="0.35">
      <c r="A296" t="s">
        <v>427</v>
      </c>
      <c r="B296" s="4">
        <v>45230</v>
      </c>
      <c r="C296" t="s">
        <v>54</v>
      </c>
      <c r="D296" t="s">
        <v>77</v>
      </c>
      <c r="E296">
        <v>1</v>
      </c>
      <c r="F296">
        <v>5</v>
      </c>
      <c r="G296" cm="1">
        <f t="array" ref="G296">SALESTABLE[[#This Row],[Quantity]]*_xlfn.XLOOKUP(SALESTABLE[[#This Row],[Product_ID]],ProductsTable[Product_ID],ProductsTable[Unit_Price],WAASIU,0,1)</f>
        <v>91.8</v>
      </c>
      <c r="H296" cm="1">
        <f t="array" ref="H296">SALESTABLE[[#This Row],[Quantity]]*_xlfn.XLOOKUP(SALESTABLE[[#This Row],[Product_ID]],ProductsTable[Product_ID],ProductsTable[Cost_Price],WAASIU,0,1)</f>
        <v>48.97</v>
      </c>
      <c r="I296">
        <f>SALESTABLE[[#This Row],[Revenue]]-SALESTABLE[[#This Row],[COST]]</f>
        <v>42.83</v>
      </c>
      <c r="J296">
        <f>SALESTABLE[[#This Row],[PROFIT]]/SALESTABLE[[#This Row],[Revenue]]*100</f>
        <v>46.655773420479299</v>
      </c>
    </row>
    <row r="297" spans="1:10" x14ac:dyDescent="0.35">
      <c r="A297" t="s">
        <v>428</v>
      </c>
      <c r="B297" s="4">
        <v>45473</v>
      </c>
      <c r="C297" t="s">
        <v>229</v>
      </c>
      <c r="D297" t="s">
        <v>44</v>
      </c>
      <c r="E297">
        <v>2</v>
      </c>
      <c r="F297">
        <v>0</v>
      </c>
      <c r="G297" cm="1">
        <f t="array" ref="G297">SALESTABLE[[#This Row],[Quantity]]*_xlfn.XLOOKUP(SALESTABLE[[#This Row],[Product_ID]],ProductsTable[Product_ID],ProductsTable[Unit_Price],WAASIU,0,1)</f>
        <v>268.38</v>
      </c>
      <c r="H297" cm="1">
        <f t="array" ref="H297">SALESTABLE[[#This Row],[Quantity]]*_xlfn.XLOOKUP(SALESTABLE[[#This Row],[Product_ID]],ProductsTable[Product_ID],ProductsTable[Cost_Price],WAASIU,0,1)</f>
        <v>166.64</v>
      </c>
      <c r="I297">
        <f>SALESTABLE[[#This Row],[Revenue]]-SALESTABLE[[#This Row],[COST]]</f>
        <v>101.74000000000001</v>
      </c>
      <c r="J297">
        <f>SALESTABLE[[#This Row],[PROFIT]]/SALESTABLE[[#This Row],[Revenue]]*100</f>
        <v>37.908935092033687</v>
      </c>
    </row>
    <row r="298" spans="1:10" x14ac:dyDescent="0.35">
      <c r="A298" t="s">
        <v>429</v>
      </c>
      <c r="B298" s="4">
        <v>45377</v>
      </c>
      <c r="C298" t="s">
        <v>430</v>
      </c>
      <c r="D298" t="s">
        <v>28</v>
      </c>
      <c r="E298">
        <v>9</v>
      </c>
      <c r="F298">
        <v>10</v>
      </c>
      <c r="G298" cm="1">
        <f t="array" ref="G298">SALESTABLE[[#This Row],[Quantity]]*_xlfn.XLOOKUP(SALESTABLE[[#This Row],[Product_ID]],ProductsTable[Product_ID],ProductsTable[Unit_Price],WAASIU,0,1)</f>
        <v>3829.32</v>
      </c>
      <c r="H298" cm="1">
        <f t="array" ref="H298">SALESTABLE[[#This Row],[Quantity]]*_xlfn.XLOOKUP(SALESTABLE[[#This Row],[Product_ID]],ProductsTable[Product_ID],ProductsTable[Cost_Price],WAASIU,0,1)</f>
        <v>2101.3199999999997</v>
      </c>
      <c r="I298">
        <f>SALESTABLE[[#This Row],[Revenue]]-SALESTABLE[[#This Row],[COST]]</f>
        <v>1728.0000000000005</v>
      </c>
      <c r="J298">
        <f>SALESTABLE[[#This Row],[PROFIT]]/SALESTABLE[[#This Row],[Revenue]]*100</f>
        <v>45.125505311648027</v>
      </c>
    </row>
    <row r="299" spans="1:10" x14ac:dyDescent="0.35">
      <c r="A299" t="s">
        <v>431</v>
      </c>
      <c r="B299" s="4">
        <v>45235</v>
      </c>
      <c r="C299" t="s">
        <v>46</v>
      </c>
      <c r="D299" t="s">
        <v>49</v>
      </c>
      <c r="E299">
        <v>8</v>
      </c>
      <c r="F299">
        <v>5</v>
      </c>
      <c r="G299" cm="1">
        <f t="array" ref="G299">SALESTABLE[[#This Row],[Quantity]]*_xlfn.XLOOKUP(SALESTABLE[[#This Row],[Product_ID]],ProductsTable[Product_ID],ProductsTable[Unit_Price],WAASIU,0,1)</f>
        <v>1837.04</v>
      </c>
      <c r="H299" cm="1">
        <f t="array" ref="H299">SALESTABLE[[#This Row],[Quantity]]*_xlfn.XLOOKUP(SALESTABLE[[#This Row],[Product_ID]],ProductsTable[Product_ID],ProductsTable[Cost_Price],WAASIU,0,1)</f>
        <v>1051.3599999999999</v>
      </c>
      <c r="I299">
        <f>SALESTABLE[[#This Row],[Revenue]]-SALESTABLE[[#This Row],[COST]]</f>
        <v>785.68000000000006</v>
      </c>
      <c r="J299">
        <f>SALESTABLE[[#This Row],[PROFIT]]/SALESTABLE[[#This Row],[Revenue]]*100</f>
        <v>42.76880198580325</v>
      </c>
    </row>
    <row r="300" spans="1:10" x14ac:dyDescent="0.35">
      <c r="A300" t="s">
        <v>432</v>
      </c>
      <c r="B300" s="4">
        <v>45408</v>
      </c>
      <c r="C300" t="s">
        <v>195</v>
      </c>
      <c r="D300" t="s">
        <v>74</v>
      </c>
      <c r="E300">
        <v>3</v>
      </c>
      <c r="F300">
        <v>0</v>
      </c>
      <c r="G300" cm="1">
        <f t="array" ref="G300">SALESTABLE[[#This Row],[Quantity]]*_xlfn.XLOOKUP(SALESTABLE[[#This Row],[Product_ID]],ProductsTable[Product_ID],ProductsTable[Unit_Price],WAASIU,0,1)</f>
        <v>129</v>
      </c>
      <c r="H300" cm="1">
        <f t="array" ref="H300">SALESTABLE[[#This Row],[Quantity]]*_xlfn.XLOOKUP(SALESTABLE[[#This Row],[Product_ID]],ProductsTable[Product_ID],ProductsTable[Cost_Price],WAASIU,0,1)</f>
        <v>90.15</v>
      </c>
      <c r="I300">
        <f>SALESTABLE[[#This Row],[Revenue]]-SALESTABLE[[#This Row],[COST]]</f>
        <v>38.849999999999994</v>
      </c>
      <c r="J300">
        <f>SALESTABLE[[#This Row],[PROFIT]]/SALESTABLE[[#This Row],[Revenue]]*100</f>
        <v>30.116279069767437</v>
      </c>
    </row>
    <row r="301" spans="1:10" x14ac:dyDescent="0.35">
      <c r="A301" t="s">
        <v>433</v>
      </c>
      <c r="B301" s="4">
        <v>44966</v>
      </c>
      <c r="C301" t="s">
        <v>7</v>
      </c>
      <c r="D301" t="s">
        <v>248</v>
      </c>
      <c r="E301">
        <v>18</v>
      </c>
      <c r="F301">
        <v>15</v>
      </c>
      <c r="G301" cm="1">
        <f t="array" ref="G301">SALESTABLE[[#This Row],[Quantity]]*_xlfn.XLOOKUP(SALESTABLE[[#This Row],[Product_ID]],ProductsTable[Product_ID],ProductsTable[Unit_Price],WAASIU,0,1)</f>
        <v>3360.78</v>
      </c>
      <c r="H301" cm="1">
        <f t="array" ref="H301">SALESTABLE[[#This Row],[Quantity]]*_xlfn.XLOOKUP(SALESTABLE[[#This Row],[Product_ID]],ProductsTable[Product_ID],ProductsTable[Cost_Price],WAASIU,0,1)</f>
        <v>2253.42</v>
      </c>
      <c r="I301">
        <f>SALESTABLE[[#This Row],[Revenue]]-SALESTABLE[[#This Row],[COST]]</f>
        <v>1107.3600000000001</v>
      </c>
      <c r="J301">
        <f>SALESTABLE[[#This Row],[PROFIT]]/SALESTABLE[[#This Row],[Revenue]]*100</f>
        <v>32.94949386749505</v>
      </c>
    </row>
    <row r="302" spans="1:10" x14ac:dyDescent="0.35">
      <c r="A302" t="s">
        <v>434</v>
      </c>
      <c r="B302" s="4">
        <v>45468</v>
      </c>
      <c r="C302" t="s">
        <v>79</v>
      </c>
      <c r="D302" t="s">
        <v>22</v>
      </c>
      <c r="E302">
        <v>8</v>
      </c>
      <c r="F302">
        <v>20</v>
      </c>
      <c r="G302" cm="1">
        <f t="array" ref="G302">SALESTABLE[[#This Row],[Quantity]]*_xlfn.XLOOKUP(SALESTABLE[[#This Row],[Product_ID]],ProductsTable[Product_ID],ProductsTable[Unit_Price],WAASIU,0,1)</f>
        <v>3357.36</v>
      </c>
      <c r="H302" cm="1">
        <f t="array" ref="H302">SALESTABLE[[#This Row],[Quantity]]*_xlfn.XLOOKUP(SALESTABLE[[#This Row],[Product_ID]],ProductsTable[Product_ID],ProductsTable[Cost_Price],WAASIU,0,1)</f>
        <v>1707.36</v>
      </c>
      <c r="I302">
        <f>SALESTABLE[[#This Row],[Revenue]]-SALESTABLE[[#This Row],[COST]]</f>
        <v>1650.0000000000002</v>
      </c>
      <c r="J302">
        <f>SALESTABLE[[#This Row],[PROFIT]]/SALESTABLE[[#This Row],[Revenue]]*100</f>
        <v>49.145757380799203</v>
      </c>
    </row>
    <row r="303" spans="1:10" x14ac:dyDescent="0.35">
      <c r="A303" t="s">
        <v>435</v>
      </c>
      <c r="B303" s="4">
        <v>45239</v>
      </c>
      <c r="C303" t="s">
        <v>76</v>
      </c>
      <c r="D303" t="s">
        <v>34</v>
      </c>
      <c r="E303">
        <v>13</v>
      </c>
      <c r="F303">
        <v>5</v>
      </c>
      <c r="G303" cm="1">
        <f t="array" ref="G303">SALESTABLE[[#This Row],[Quantity]]*_xlfn.XLOOKUP(SALESTABLE[[#This Row],[Product_ID]],ProductsTable[Product_ID],ProductsTable[Unit_Price],WAASIU,0,1)</f>
        <v>4273.75</v>
      </c>
      <c r="H303" cm="1">
        <f t="array" ref="H303">SALESTABLE[[#This Row],[Quantity]]*_xlfn.XLOOKUP(SALESTABLE[[#This Row],[Product_ID]],ProductsTable[Product_ID],ProductsTable[Cost_Price],WAASIU,0,1)</f>
        <v>3031.34</v>
      </c>
      <c r="I303">
        <f>SALESTABLE[[#This Row],[Revenue]]-SALESTABLE[[#This Row],[COST]]</f>
        <v>1242.4099999999999</v>
      </c>
      <c r="J303">
        <f>SALESTABLE[[#This Row],[PROFIT]]/SALESTABLE[[#This Row],[Revenue]]*100</f>
        <v>29.070722433460073</v>
      </c>
    </row>
    <row r="304" spans="1:10" x14ac:dyDescent="0.35">
      <c r="A304" t="s">
        <v>436</v>
      </c>
      <c r="B304" s="4">
        <v>45111</v>
      </c>
      <c r="C304" t="s">
        <v>331</v>
      </c>
      <c r="D304" t="s">
        <v>41</v>
      </c>
      <c r="E304">
        <v>3</v>
      </c>
      <c r="F304">
        <v>5</v>
      </c>
      <c r="G304" cm="1">
        <f t="array" ref="G304">SALESTABLE[[#This Row],[Quantity]]*_xlfn.XLOOKUP(SALESTABLE[[#This Row],[Product_ID]],ProductsTable[Product_ID],ProductsTable[Unit_Price],WAASIU,0,1)</f>
        <v>1277.25</v>
      </c>
      <c r="H304" cm="1">
        <f t="array" ref="H304">SALESTABLE[[#This Row],[Quantity]]*_xlfn.XLOOKUP(SALESTABLE[[#This Row],[Product_ID]],ProductsTable[Product_ID],ProductsTable[Cost_Price],WAASIU,0,1)</f>
        <v>729.39</v>
      </c>
      <c r="I304">
        <f>SALESTABLE[[#This Row],[Revenue]]-SALESTABLE[[#This Row],[COST]]</f>
        <v>547.86</v>
      </c>
      <c r="J304">
        <f>SALESTABLE[[#This Row],[PROFIT]]/SALESTABLE[[#This Row],[Revenue]]*100</f>
        <v>42.89371697005285</v>
      </c>
    </row>
    <row r="305" spans="1:10" x14ac:dyDescent="0.35">
      <c r="A305" t="s">
        <v>437</v>
      </c>
      <c r="B305" s="4">
        <v>45323</v>
      </c>
      <c r="C305" t="s">
        <v>311</v>
      </c>
      <c r="D305" t="s">
        <v>107</v>
      </c>
      <c r="E305">
        <v>16</v>
      </c>
      <c r="F305">
        <v>10</v>
      </c>
      <c r="G305" cm="1">
        <f t="array" ref="G305">SALESTABLE[[#This Row],[Quantity]]*_xlfn.XLOOKUP(SALESTABLE[[#This Row],[Product_ID]],ProductsTable[Product_ID],ProductsTable[Unit_Price],WAASIU,0,1)</f>
        <v>1040.1600000000001</v>
      </c>
      <c r="H305" cm="1">
        <f t="array" ref="H305">SALESTABLE[[#This Row],[Quantity]]*_xlfn.XLOOKUP(SALESTABLE[[#This Row],[Product_ID]],ProductsTable[Product_ID],ProductsTable[Cost_Price],WAASIU,0,1)</f>
        <v>589.28</v>
      </c>
      <c r="I305">
        <f>SALESTABLE[[#This Row],[Revenue]]-SALESTABLE[[#This Row],[COST]]</f>
        <v>450.88000000000011</v>
      </c>
      <c r="J305">
        <f>SALESTABLE[[#This Row],[PROFIT]]/SALESTABLE[[#This Row],[Revenue]]*100</f>
        <v>43.347177357329649</v>
      </c>
    </row>
    <row r="306" spans="1:10" x14ac:dyDescent="0.35">
      <c r="A306" t="s">
        <v>438</v>
      </c>
      <c r="B306" s="4">
        <v>45248</v>
      </c>
      <c r="C306" t="s">
        <v>193</v>
      </c>
      <c r="D306" t="s">
        <v>22</v>
      </c>
      <c r="E306">
        <v>11</v>
      </c>
      <c r="F306">
        <v>20</v>
      </c>
      <c r="G306" cm="1">
        <f t="array" ref="G306">SALESTABLE[[#This Row],[Quantity]]*_xlfn.XLOOKUP(SALESTABLE[[#This Row],[Product_ID]],ProductsTable[Product_ID],ProductsTable[Unit_Price],WAASIU,0,1)</f>
        <v>4616.37</v>
      </c>
      <c r="H306" cm="1">
        <f t="array" ref="H306">SALESTABLE[[#This Row],[Quantity]]*_xlfn.XLOOKUP(SALESTABLE[[#This Row],[Product_ID]],ProductsTable[Product_ID],ProductsTable[Cost_Price],WAASIU,0,1)</f>
        <v>2347.62</v>
      </c>
      <c r="I306">
        <f>SALESTABLE[[#This Row],[Revenue]]-SALESTABLE[[#This Row],[COST]]</f>
        <v>2268.75</v>
      </c>
      <c r="J306">
        <f>SALESTABLE[[#This Row],[PROFIT]]/SALESTABLE[[#This Row],[Revenue]]*100</f>
        <v>49.145757380799196</v>
      </c>
    </row>
    <row r="307" spans="1:10" x14ac:dyDescent="0.35">
      <c r="A307" t="s">
        <v>439</v>
      </c>
      <c r="B307" s="4">
        <v>45209</v>
      </c>
      <c r="C307" t="s">
        <v>156</v>
      </c>
      <c r="D307" t="s">
        <v>34</v>
      </c>
      <c r="E307">
        <v>13</v>
      </c>
      <c r="F307">
        <v>0</v>
      </c>
      <c r="G307" cm="1">
        <f t="array" ref="G307">SALESTABLE[[#This Row],[Quantity]]*_xlfn.XLOOKUP(SALESTABLE[[#This Row],[Product_ID]],ProductsTable[Product_ID],ProductsTable[Unit_Price],WAASIU,0,1)</f>
        <v>4273.75</v>
      </c>
      <c r="H307" cm="1">
        <f t="array" ref="H307">SALESTABLE[[#This Row],[Quantity]]*_xlfn.XLOOKUP(SALESTABLE[[#This Row],[Product_ID]],ProductsTable[Product_ID],ProductsTable[Cost_Price],WAASIU,0,1)</f>
        <v>3031.34</v>
      </c>
      <c r="I307">
        <f>SALESTABLE[[#This Row],[Revenue]]-SALESTABLE[[#This Row],[COST]]</f>
        <v>1242.4099999999999</v>
      </c>
      <c r="J307">
        <f>SALESTABLE[[#This Row],[PROFIT]]/SALESTABLE[[#This Row],[Revenue]]*100</f>
        <v>29.070722433460073</v>
      </c>
    </row>
    <row r="308" spans="1:10" x14ac:dyDescent="0.35">
      <c r="A308" t="s">
        <v>440</v>
      </c>
      <c r="B308" s="4">
        <v>45073</v>
      </c>
      <c r="C308" t="s">
        <v>306</v>
      </c>
      <c r="D308" t="s">
        <v>84</v>
      </c>
      <c r="E308">
        <v>13</v>
      </c>
      <c r="F308">
        <v>10</v>
      </c>
      <c r="G308" cm="1">
        <f t="array" ref="G308">SALESTABLE[[#This Row],[Quantity]]*_xlfn.XLOOKUP(SALESTABLE[[#This Row],[Product_ID]],ProductsTable[Product_ID],ProductsTable[Unit_Price],WAASIU,0,1)</f>
        <v>3495.7</v>
      </c>
      <c r="H308" cm="1">
        <f t="array" ref="H308">SALESTABLE[[#This Row],[Quantity]]*_xlfn.XLOOKUP(SALESTABLE[[#This Row],[Product_ID]],ProductsTable[Product_ID],ProductsTable[Cost_Price],WAASIU,0,1)</f>
        <v>2026.1800000000003</v>
      </c>
      <c r="I308">
        <f>SALESTABLE[[#This Row],[Revenue]]-SALESTABLE[[#This Row],[COST]]</f>
        <v>1469.5199999999995</v>
      </c>
      <c r="J308">
        <f>SALESTABLE[[#This Row],[PROFIT]]/SALESTABLE[[#This Row],[Revenue]]*100</f>
        <v>42.037932316846401</v>
      </c>
    </row>
    <row r="309" spans="1:10" x14ac:dyDescent="0.35">
      <c r="A309" t="s">
        <v>441</v>
      </c>
      <c r="B309" s="4">
        <v>45527</v>
      </c>
      <c r="C309" t="s">
        <v>83</v>
      </c>
      <c r="D309" t="s">
        <v>19</v>
      </c>
      <c r="E309">
        <v>3</v>
      </c>
      <c r="F309">
        <v>20</v>
      </c>
      <c r="G309" cm="1">
        <f t="array" ref="G309">SALESTABLE[[#This Row],[Quantity]]*_xlfn.XLOOKUP(SALESTABLE[[#This Row],[Product_ID]],ProductsTable[Product_ID],ProductsTable[Unit_Price],WAASIU,0,1)</f>
        <v>182.28</v>
      </c>
      <c r="H309" cm="1">
        <f t="array" ref="H309">SALESTABLE[[#This Row],[Quantity]]*_xlfn.XLOOKUP(SALESTABLE[[#This Row],[Product_ID]],ProductsTable[Product_ID],ProductsTable[Cost_Price],WAASIU,0,1)</f>
        <v>121.35000000000001</v>
      </c>
      <c r="I309">
        <f>SALESTABLE[[#This Row],[Revenue]]-SALESTABLE[[#This Row],[COST]]</f>
        <v>60.929999999999993</v>
      </c>
      <c r="J309">
        <f>SALESTABLE[[#This Row],[PROFIT]]/SALESTABLE[[#This Row],[Revenue]]*100</f>
        <v>33.426596445029624</v>
      </c>
    </row>
    <row r="310" spans="1:10" x14ac:dyDescent="0.35">
      <c r="A310" t="s">
        <v>442</v>
      </c>
      <c r="B310" s="4">
        <v>45589</v>
      </c>
      <c r="C310" t="s">
        <v>96</v>
      </c>
      <c r="D310" t="s">
        <v>127</v>
      </c>
      <c r="E310">
        <v>20</v>
      </c>
      <c r="F310">
        <v>15</v>
      </c>
      <c r="G310" cm="1">
        <f t="array" ref="G310">SALESTABLE[[#This Row],[Quantity]]*_xlfn.XLOOKUP(SALESTABLE[[#This Row],[Product_ID]],ProductsTable[Product_ID],ProductsTable[Unit_Price],WAASIU,0,1)</f>
        <v>1841.3999999999999</v>
      </c>
      <c r="H310" cm="1">
        <f t="array" ref="H310">SALESTABLE[[#This Row],[Quantity]]*_xlfn.XLOOKUP(SALESTABLE[[#This Row],[Product_ID]],ProductsTable[Product_ID],ProductsTable[Cost_Price],WAASIU,0,1)</f>
        <v>1127.2</v>
      </c>
      <c r="I310">
        <f>SALESTABLE[[#This Row],[Revenue]]-SALESTABLE[[#This Row],[COST]]</f>
        <v>714.19999999999982</v>
      </c>
      <c r="J310">
        <f>SALESTABLE[[#This Row],[PROFIT]]/SALESTABLE[[#This Row],[Revenue]]*100</f>
        <v>38.785706527642006</v>
      </c>
    </row>
    <row r="311" spans="1:10" x14ac:dyDescent="0.35">
      <c r="A311" t="s">
        <v>443</v>
      </c>
      <c r="B311" s="4">
        <v>45503</v>
      </c>
      <c r="C311" t="s">
        <v>193</v>
      </c>
      <c r="D311" t="s">
        <v>31</v>
      </c>
      <c r="E311">
        <v>19</v>
      </c>
      <c r="F311">
        <v>15</v>
      </c>
      <c r="G311" cm="1">
        <f t="array" ref="G311">SALESTABLE[[#This Row],[Quantity]]*_xlfn.XLOOKUP(SALESTABLE[[#This Row],[Product_ID]],ProductsTable[Product_ID],ProductsTable[Unit_Price],WAASIU,0,1)</f>
        <v>3289.66</v>
      </c>
      <c r="H311" cm="1">
        <f t="array" ref="H311">SALESTABLE[[#This Row],[Quantity]]*_xlfn.XLOOKUP(SALESTABLE[[#This Row],[Product_ID]],ProductsTable[Product_ID],ProductsTable[Cost_Price],WAASIU,0,1)</f>
        <v>1905.5100000000002</v>
      </c>
      <c r="I311">
        <f>SALESTABLE[[#This Row],[Revenue]]-SALESTABLE[[#This Row],[COST]]</f>
        <v>1384.1499999999996</v>
      </c>
      <c r="J311">
        <f>SALESTABLE[[#This Row],[PROFIT]]/SALESTABLE[[#This Row],[Revenue]]*100</f>
        <v>42.075776828000457</v>
      </c>
    </row>
    <row r="312" spans="1:10" x14ac:dyDescent="0.35">
      <c r="A312" t="s">
        <v>444</v>
      </c>
      <c r="B312" s="4">
        <v>45178</v>
      </c>
      <c r="C312" t="s">
        <v>142</v>
      </c>
      <c r="D312" t="s">
        <v>11</v>
      </c>
      <c r="E312">
        <v>18</v>
      </c>
      <c r="F312">
        <v>20</v>
      </c>
      <c r="G312" cm="1">
        <f t="array" ref="G312">SALESTABLE[[#This Row],[Quantity]]*_xlfn.XLOOKUP(SALESTABLE[[#This Row],[Product_ID]],ProductsTable[Product_ID],ProductsTable[Unit_Price],WAASIU,0,1)</f>
        <v>8590.86</v>
      </c>
      <c r="H312" cm="1">
        <f t="array" ref="H312">SALESTABLE[[#This Row],[Quantity]]*_xlfn.XLOOKUP(SALESTABLE[[#This Row],[Product_ID]],ProductsTable[Product_ID],ProductsTable[Cost_Price],WAASIU,0,1)</f>
        <v>5379.12</v>
      </c>
      <c r="I312">
        <f>SALESTABLE[[#This Row],[Revenue]]-SALESTABLE[[#This Row],[COST]]</f>
        <v>3211.7400000000007</v>
      </c>
      <c r="J312">
        <f>SALESTABLE[[#This Row],[PROFIT]]/SALESTABLE[[#This Row],[Revenue]]*100</f>
        <v>37.385546965030279</v>
      </c>
    </row>
    <row r="313" spans="1:10" x14ac:dyDescent="0.35">
      <c r="A313" t="s">
        <v>445</v>
      </c>
      <c r="B313" s="4">
        <v>45194</v>
      </c>
      <c r="C313" t="s">
        <v>18</v>
      </c>
      <c r="D313" t="s">
        <v>107</v>
      </c>
      <c r="E313">
        <v>7</v>
      </c>
      <c r="F313">
        <v>10</v>
      </c>
      <c r="G313" cm="1">
        <f t="array" ref="G313">SALESTABLE[[#This Row],[Quantity]]*_xlfn.XLOOKUP(SALESTABLE[[#This Row],[Product_ID]],ProductsTable[Product_ID],ProductsTable[Unit_Price],WAASIU,0,1)</f>
        <v>455.07000000000005</v>
      </c>
      <c r="H313" cm="1">
        <f t="array" ref="H313">SALESTABLE[[#This Row],[Quantity]]*_xlfn.XLOOKUP(SALESTABLE[[#This Row],[Product_ID]],ProductsTable[Product_ID],ProductsTable[Cost_Price],WAASIU,0,1)</f>
        <v>257.81</v>
      </c>
      <c r="I313">
        <f>SALESTABLE[[#This Row],[Revenue]]-SALESTABLE[[#This Row],[COST]]</f>
        <v>197.26000000000005</v>
      </c>
      <c r="J313">
        <f>SALESTABLE[[#This Row],[PROFIT]]/SALESTABLE[[#This Row],[Revenue]]*100</f>
        <v>43.347177357329649</v>
      </c>
    </row>
    <row r="314" spans="1:10" x14ac:dyDescent="0.35">
      <c r="A314" t="s">
        <v>446</v>
      </c>
      <c r="B314" s="4">
        <v>45509</v>
      </c>
      <c r="C314" t="s">
        <v>251</v>
      </c>
      <c r="D314" t="s">
        <v>139</v>
      </c>
      <c r="E314">
        <v>20</v>
      </c>
      <c r="F314">
        <v>20</v>
      </c>
      <c r="G314" cm="1">
        <f t="array" ref="G314">SALESTABLE[[#This Row],[Quantity]]*_xlfn.XLOOKUP(SALESTABLE[[#This Row],[Product_ID]],ProductsTable[Product_ID],ProductsTable[Unit_Price],WAASIU,0,1)</f>
        <v>9142.2000000000007</v>
      </c>
      <c r="H314" cm="1">
        <f t="array" ref="H314">SALESTABLE[[#This Row],[Quantity]]*_xlfn.XLOOKUP(SALESTABLE[[#This Row],[Product_ID]],ProductsTable[Product_ID],ProductsTable[Cost_Price],WAASIU,0,1)</f>
        <v>6550.4</v>
      </c>
      <c r="I314">
        <f>SALESTABLE[[#This Row],[Revenue]]-SALESTABLE[[#This Row],[COST]]</f>
        <v>2591.8000000000011</v>
      </c>
      <c r="J314">
        <f>SALESTABLE[[#This Row],[PROFIT]]/SALESTABLE[[#This Row],[Revenue]]*100</f>
        <v>28.349850145479216</v>
      </c>
    </row>
    <row r="315" spans="1:10" x14ac:dyDescent="0.35">
      <c r="A315" t="s">
        <v>447</v>
      </c>
      <c r="B315" s="4">
        <v>45412</v>
      </c>
      <c r="C315" t="s">
        <v>136</v>
      </c>
      <c r="D315" t="s">
        <v>113</v>
      </c>
      <c r="E315">
        <v>2</v>
      </c>
      <c r="F315">
        <v>5</v>
      </c>
      <c r="G315" cm="1">
        <f t="array" ref="G315">SALESTABLE[[#This Row],[Quantity]]*_xlfn.XLOOKUP(SALESTABLE[[#This Row],[Product_ID]],ProductsTable[Product_ID],ProductsTable[Unit_Price],WAASIU,0,1)</f>
        <v>674.18</v>
      </c>
      <c r="H315" cm="1">
        <f t="array" ref="H315">SALESTABLE[[#This Row],[Quantity]]*_xlfn.XLOOKUP(SALESTABLE[[#This Row],[Product_ID]],ProductsTable[Product_ID],ProductsTable[Cost_Price],WAASIU,0,1)</f>
        <v>372.82</v>
      </c>
      <c r="I315">
        <f>SALESTABLE[[#This Row],[Revenue]]-SALESTABLE[[#This Row],[COST]]</f>
        <v>301.35999999999996</v>
      </c>
      <c r="J315">
        <f>SALESTABLE[[#This Row],[PROFIT]]/SALESTABLE[[#This Row],[Revenue]]*100</f>
        <v>44.700228425643004</v>
      </c>
    </row>
    <row r="316" spans="1:10" x14ac:dyDescent="0.35">
      <c r="A316" t="s">
        <v>448</v>
      </c>
      <c r="B316" s="4">
        <v>45039</v>
      </c>
      <c r="C316" t="s">
        <v>294</v>
      </c>
      <c r="D316" t="s">
        <v>16</v>
      </c>
      <c r="E316">
        <v>8</v>
      </c>
      <c r="F316">
        <v>5</v>
      </c>
      <c r="G316" cm="1">
        <f t="array" ref="G316">SALESTABLE[[#This Row],[Quantity]]*_xlfn.XLOOKUP(SALESTABLE[[#This Row],[Product_ID]],ProductsTable[Product_ID],ProductsTable[Unit_Price],WAASIU,0,1)</f>
        <v>2897.36</v>
      </c>
      <c r="H316" cm="1">
        <f t="array" ref="H316">SALESTABLE[[#This Row],[Quantity]]*_xlfn.XLOOKUP(SALESTABLE[[#This Row],[Product_ID]],ProductsTable[Product_ID],ProductsTable[Cost_Price],WAASIU,0,1)</f>
        <v>1867.04</v>
      </c>
      <c r="I316">
        <f>SALESTABLE[[#This Row],[Revenue]]-SALESTABLE[[#This Row],[COST]]</f>
        <v>1030.3200000000002</v>
      </c>
      <c r="J316">
        <f>SALESTABLE[[#This Row],[PROFIT]]/SALESTABLE[[#This Row],[Revenue]]*100</f>
        <v>35.56064831432753</v>
      </c>
    </row>
    <row r="317" spans="1:10" x14ac:dyDescent="0.35">
      <c r="A317" t="s">
        <v>449</v>
      </c>
      <c r="B317" s="4">
        <v>45484</v>
      </c>
      <c r="C317" t="s">
        <v>177</v>
      </c>
      <c r="D317" t="s">
        <v>28</v>
      </c>
      <c r="E317">
        <v>14</v>
      </c>
      <c r="F317">
        <v>15</v>
      </c>
      <c r="G317" cm="1">
        <f t="array" ref="G317">SALESTABLE[[#This Row],[Quantity]]*_xlfn.XLOOKUP(SALESTABLE[[#This Row],[Product_ID]],ProductsTable[Product_ID],ProductsTable[Unit_Price],WAASIU,0,1)</f>
        <v>5956.72</v>
      </c>
      <c r="H317" cm="1">
        <f t="array" ref="H317">SALESTABLE[[#This Row],[Quantity]]*_xlfn.XLOOKUP(SALESTABLE[[#This Row],[Product_ID]],ProductsTable[Product_ID],ProductsTable[Cost_Price],WAASIU,0,1)</f>
        <v>3268.72</v>
      </c>
      <c r="I317">
        <f>SALESTABLE[[#This Row],[Revenue]]-SALESTABLE[[#This Row],[COST]]</f>
        <v>2688.0000000000005</v>
      </c>
      <c r="J317">
        <f>SALESTABLE[[#This Row],[PROFIT]]/SALESTABLE[[#This Row],[Revenue]]*100</f>
        <v>45.125505311648027</v>
      </c>
    </row>
    <row r="318" spans="1:10" x14ac:dyDescent="0.35">
      <c r="A318" t="s">
        <v>450</v>
      </c>
      <c r="B318" s="4">
        <v>45565</v>
      </c>
      <c r="C318" t="s">
        <v>40</v>
      </c>
      <c r="D318" t="s">
        <v>133</v>
      </c>
      <c r="E318">
        <v>10</v>
      </c>
      <c r="F318">
        <v>5</v>
      </c>
      <c r="G318" cm="1">
        <f t="array" ref="G318">SALESTABLE[[#This Row],[Quantity]]*_xlfn.XLOOKUP(SALESTABLE[[#This Row],[Product_ID]],ProductsTable[Product_ID],ProductsTable[Unit_Price],WAASIU,0,1)</f>
        <v>3510</v>
      </c>
      <c r="H318" cm="1">
        <f t="array" ref="H318">SALESTABLE[[#This Row],[Quantity]]*_xlfn.XLOOKUP(SALESTABLE[[#This Row],[Product_ID]],ProductsTable[Product_ID],ProductsTable[Cost_Price],WAASIU,0,1)</f>
        <v>2336.3000000000002</v>
      </c>
      <c r="I318">
        <f>SALESTABLE[[#This Row],[Revenue]]-SALESTABLE[[#This Row],[COST]]</f>
        <v>1173.6999999999998</v>
      </c>
      <c r="J318">
        <f>SALESTABLE[[#This Row],[PROFIT]]/SALESTABLE[[#This Row],[Revenue]]*100</f>
        <v>33.438746438746435</v>
      </c>
    </row>
    <row r="319" spans="1:10" x14ac:dyDescent="0.35">
      <c r="A319" t="s">
        <v>451</v>
      </c>
      <c r="B319" s="4">
        <v>44993</v>
      </c>
      <c r="C319" t="s">
        <v>245</v>
      </c>
      <c r="D319" t="s">
        <v>139</v>
      </c>
      <c r="E319">
        <v>16</v>
      </c>
      <c r="F319">
        <v>5</v>
      </c>
      <c r="G319" cm="1">
        <f t="array" ref="G319">SALESTABLE[[#This Row],[Quantity]]*_xlfn.XLOOKUP(SALESTABLE[[#This Row],[Product_ID]],ProductsTable[Product_ID],ProductsTable[Unit_Price],WAASIU,0,1)</f>
        <v>7313.76</v>
      </c>
      <c r="H319" cm="1">
        <f t="array" ref="H319">SALESTABLE[[#This Row],[Quantity]]*_xlfn.XLOOKUP(SALESTABLE[[#This Row],[Product_ID]],ProductsTable[Product_ID],ProductsTable[Cost_Price],WAASIU,0,1)</f>
        <v>5240.32</v>
      </c>
      <c r="I319">
        <f>SALESTABLE[[#This Row],[Revenue]]-SALESTABLE[[#This Row],[COST]]</f>
        <v>2073.4400000000005</v>
      </c>
      <c r="J319">
        <f>SALESTABLE[[#This Row],[PROFIT]]/SALESTABLE[[#This Row],[Revenue]]*100</f>
        <v>28.349850145479209</v>
      </c>
    </row>
    <row r="320" spans="1:10" x14ac:dyDescent="0.35">
      <c r="A320" t="s">
        <v>452</v>
      </c>
      <c r="B320" s="4">
        <v>45241</v>
      </c>
      <c r="C320" t="s">
        <v>36</v>
      </c>
      <c r="D320" t="s">
        <v>137</v>
      </c>
      <c r="E320">
        <v>9</v>
      </c>
      <c r="F320">
        <v>5</v>
      </c>
      <c r="G320" cm="1">
        <f t="array" ref="G320">SALESTABLE[[#This Row],[Quantity]]*_xlfn.XLOOKUP(SALESTABLE[[#This Row],[Product_ID]],ProductsTable[Product_ID],ProductsTable[Unit_Price],WAASIU,0,1)</f>
        <v>3270.96</v>
      </c>
      <c r="H320" cm="1">
        <f t="array" ref="H320">SALESTABLE[[#This Row],[Quantity]]*_xlfn.XLOOKUP(SALESTABLE[[#This Row],[Product_ID]],ProductsTable[Product_ID],ProductsTable[Cost_Price],WAASIU,0,1)</f>
        <v>2250.4500000000003</v>
      </c>
      <c r="I320">
        <f>SALESTABLE[[#This Row],[Revenue]]-SALESTABLE[[#This Row],[COST]]</f>
        <v>1020.5099999999998</v>
      </c>
      <c r="J320">
        <f>SALESTABLE[[#This Row],[PROFIT]]/SALESTABLE[[#This Row],[Revenue]]*100</f>
        <v>31.199097512656827</v>
      </c>
    </row>
    <row r="321" spans="1:10" x14ac:dyDescent="0.35">
      <c r="A321" t="s">
        <v>453</v>
      </c>
      <c r="B321" s="4">
        <v>45359</v>
      </c>
      <c r="C321" t="s">
        <v>10</v>
      </c>
      <c r="D321" t="s">
        <v>107</v>
      </c>
      <c r="E321">
        <v>8</v>
      </c>
      <c r="F321">
        <v>10</v>
      </c>
      <c r="G321" cm="1">
        <f t="array" ref="G321">SALESTABLE[[#This Row],[Quantity]]*_xlfn.XLOOKUP(SALESTABLE[[#This Row],[Product_ID]],ProductsTable[Product_ID],ProductsTable[Unit_Price],WAASIU,0,1)</f>
        <v>520.08000000000004</v>
      </c>
      <c r="H321" cm="1">
        <f t="array" ref="H321">SALESTABLE[[#This Row],[Quantity]]*_xlfn.XLOOKUP(SALESTABLE[[#This Row],[Product_ID]],ProductsTable[Product_ID],ProductsTable[Cost_Price],WAASIU,0,1)</f>
        <v>294.64</v>
      </c>
      <c r="I321">
        <f>SALESTABLE[[#This Row],[Revenue]]-SALESTABLE[[#This Row],[COST]]</f>
        <v>225.44000000000005</v>
      </c>
      <c r="J321">
        <f>SALESTABLE[[#This Row],[PROFIT]]/SALESTABLE[[#This Row],[Revenue]]*100</f>
        <v>43.347177357329649</v>
      </c>
    </row>
    <row r="322" spans="1:10" x14ac:dyDescent="0.35">
      <c r="A322" t="s">
        <v>454</v>
      </c>
      <c r="B322" s="4">
        <v>45526</v>
      </c>
      <c r="C322" t="s">
        <v>169</v>
      </c>
      <c r="D322" t="s">
        <v>74</v>
      </c>
      <c r="E322">
        <v>15</v>
      </c>
      <c r="F322">
        <v>20</v>
      </c>
      <c r="G322" cm="1">
        <f t="array" ref="G322">SALESTABLE[[#This Row],[Quantity]]*_xlfn.XLOOKUP(SALESTABLE[[#This Row],[Product_ID]],ProductsTable[Product_ID],ProductsTable[Unit_Price],WAASIU,0,1)</f>
        <v>645</v>
      </c>
      <c r="H322" cm="1">
        <f t="array" ref="H322">SALESTABLE[[#This Row],[Quantity]]*_xlfn.XLOOKUP(SALESTABLE[[#This Row],[Product_ID]],ProductsTable[Product_ID],ProductsTable[Cost_Price],WAASIU,0,1)</f>
        <v>450.75</v>
      </c>
      <c r="I322">
        <f>SALESTABLE[[#This Row],[Revenue]]-SALESTABLE[[#This Row],[COST]]</f>
        <v>194.25</v>
      </c>
      <c r="J322">
        <f>SALESTABLE[[#This Row],[PROFIT]]/SALESTABLE[[#This Row],[Revenue]]*100</f>
        <v>30.116279069767444</v>
      </c>
    </row>
    <row r="323" spans="1:10" x14ac:dyDescent="0.35">
      <c r="A323" t="s">
        <v>455</v>
      </c>
      <c r="B323" s="4">
        <v>45446</v>
      </c>
      <c r="C323" t="s">
        <v>86</v>
      </c>
      <c r="D323" t="s">
        <v>248</v>
      </c>
      <c r="E323">
        <v>7</v>
      </c>
      <c r="F323">
        <v>10</v>
      </c>
      <c r="G323" cm="1">
        <f t="array" ref="G323">SALESTABLE[[#This Row],[Quantity]]*_xlfn.XLOOKUP(SALESTABLE[[#This Row],[Product_ID]],ProductsTable[Product_ID],ProductsTable[Unit_Price],WAASIU,0,1)</f>
        <v>1306.97</v>
      </c>
      <c r="H323" cm="1">
        <f t="array" ref="H323">SALESTABLE[[#This Row],[Quantity]]*_xlfn.XLOOKUP(SALESTABLE[[#This Row],[Product_ID]],ProductsTable[Product_ID],ProductsTable[Cost_Price],WAASIU,0,1)</f>
        <v>876.32999999999993</v>
      </c>
      <c r="I323">
        <f>SALESTABLE[[#This Row],[Revenue]]-SALESTABLE[[#This Row],[COST]]</f>
        <v>430.6400000000001</v>
      </c>
      <c r="J323">
        <f>SALESTABLE[[#This Row],[PROFIT]]/SALESTABLE[[#This Row],[Revenue]]*100</f>
        <v>32.949493867495057</v>
      </c>
    </row>
    <row r="324" spans="1:10" x14ac:dyDescent="0.35">
      <c r="A324" t="s">
        <v>456</v>
      </c>
      <c r="B324" s="4">
        <v>45005</v>
      </c>
      <c r="C324" t="s">
        <v>24</v>
      </c>
      <c r="D324" t="s">
        <v>11</v>
      </c>
      <c r="E324">
        <v>2</v>
      </c>
      <c r="F324">
        <v>15</v>
      </c>
      <c r="G324" cm="1">
        <f t="array" ref="G324">SALESTABLE[[#This Row],[Quantity]]*_xlfn.XLOOKUP(SALESTABLE[[#This Row],[Product_ID]],ProductsTable[Product_ID],ProductsTable[Unit_Price],WAASIU,0,1)</f>
        <v>954.54</v>
      </c>
      <c r="H324" cm="1">
        <f t="array" ref="H324">SALESTABLE[[#This Row],[Quantity]]*_xlfn.XLOOKUP(SALESTABLE[[#This Row],[Product_ID]],ProductsTable[Product_ID],ProductsTable[Cost_Price],WAASIU,0,1)</f>
        <v>597.67999999999995</v>
      </c>
      <c r="I324">
        <f>SALESTABLE[[#This Row],[Revenue]]-SALESTABLE[[#This Row],[COST]]</f>
        <v>356.86</v>
      </c>
      <c r="J324">
        <f>SALESTABLE[[#This Row],[PROFIT]]/SALESTABLE[[#This Row],[Revenue]]*100</f>
        <v>37.385546965030279</v>
      </c>
    </row>
    <row r="325" spans="1:10" x14ac:dyDescent="0.35">
      <c r="A325" t="s">
        <v>457</v>
      </c>
      <c r="B325" s="4">
        <v>45272</v>
      </c>
      <c r="C325" t="s">
        <v>237</v>
      </c>
      <c r="D325" t="s">
        <v>137</v>
      </c>
      <c r="E325">
        <v>13</v>
      </c>
      <c r="F325">
        <v>0</v>
      </c>
      <c r="G325" cm="1">
        <f t="array" ref="G325">SALESTABLE[[#This Row],[Quantity]]*_xlfn.XLOOKUP(SALESTABLE[[#This Row],[Product_ID]],ProductsTable[Product_ID],ProductsTable[Unit_Price],WAASIU,0,1)</f>
        <v>4724.72</v>
      </c>
      <c r="H325" cm="1">
        <f t="array" ref="H325">SALESTABLE[[#This Row],[Quantity]]*_xlfn.XLOOKUP(SALESTABLE[[#This Row],[Product_ID]],ProductsTable[Product_ID],ProductsTable[Cost_Price],WAASIU,0,1)</f>
        <v>3250.65</v>
      </c>
      <c r="I325">
        <f>SALESTABLE[[#This Row],[Revenue]]-SALESTABLE[[#This Row],[COST]]</f>
        <v>1474.0700000000002</v>
      </c>
      <c r="J325">
        <f>SALESTABLE[[#This Row],[PROFIT]]/SALESTABLE[[#This Row],[Revenue]]*100</f>
        <v>31.199097512656838</v>
      </c>
    </row>
    <row r="326" spans="1:10" x14ac:dyDescent="0.35">
      <c r="A326" t="s">
        <v>458</v>
      </c>
      <c r="B326" s="4">
        <v>45492</v>
      </c>
      <c r="C326" t="s">
        <v>352</v>
      </c>
      <c r="D326" t="s">
        <v>248</v>
      </c>
      <c r="E326">
        <v>5</v>
      </c>
      <c r="F326">
        <v>10</v>
      </c>
      <c r="G326" cm="1">
        <f t="array" ref="G326">SALESTABLE[[#This Row],[Quantity]]*_xlfn.XLOOKUP(SALESTABLE[[#This Row],[Product_ID]],ProductsTable[Product_ID],ProductsTable[Unit_Price],WAASIU,0,1)</f>
        <v>933.55000000000007</v>
      </c>
      <c r="H326" cm="1">
        <f t="array" ref="H326">SALESTABLE[[#This Row],[Quantity]]*_xlfn.XLOOKUP(SALESTABLE[[#This Row],[Product_ID]],ProductsTable[Product_ID],ProductsTable[Cost_Price],WAASIU,0,1)</f>
        <v>625.95000000000005</v>
      </c>
      <c r="I326">
        <f>SALESTABLE[[#This Row],[Revenue]]-SALESTABLE[[#This Row],[COST]]</f>
        <v>307.60000000000002</v>
      </c>
      <c r="J326">
        <f>SALESTABLE[[#This Row],[PROFIT]]/SALESTABLE[[#This Row],[Revenue]]*100</f>
        <v>32.949493867495043</v>
      </c>
    </row>
    <row r="327" spans="1:10" x14ac:dyDescent="0.35">
      <c r="A327" t="s">
        <v>459</v>
      </c>
      <c r="B327" s="4">
        <v>45505</v>
      </c>
      <c r="C327" t="s">
        <v>284</v>
      </c>
      <c r="D327" t="s">
        <v>113</v>
      </c>
      <c r="E327">
        <v>3</v>
      </c>
      <c r="F327">
        <v>15</v>
      </c>
      <c r="G327" cm="1">
        <f t="array" ref="G327">SALESTABLE[[#This Row],[Quantity]]*_xlfn.XLOOKUP(SALESTABLE[[#This Row],[Product_ID]],ProductsTable[Product_ID],ProductsTable[Unit_Price],WAASIU,0,1)</f>
        <v>1011.27</v>
      </c>
      <c r="H327" cm="1">
        <f t="array" ref="H327">SALESTABLE[[#This Row],[Quantity]]*_xlfn.XLOOKUP(SALESTABLE[[#This Row],[Product_ID]],ProductsTable[Product_ID],ProductsTable[Cost_Price],WAASIU,0,1)</f>
        <v>559.23</v>
      </c>
      <c r="I327">
        <f>SALESTABLE[[#This Row],[Revenue]]-SALESTABLE[[#This Row],[COST]]</f>
        <v>452.03999999999996</v>
      </c>
      <c r="J327">
        <f>SALESTABLE[[#This Row],[PROFIT]]/SALESTABLE[[#This Row],[Revenue]]*100</f>
        <v>44.700228425643004</v>
      </c>
    </row>
    <row r="328" spans="1:10" x14ac:dyDescent="0.35">
      <c r="A328" t="s">
        <v>460</v>
      </c>
      <c r="B328" s="4">
        <v>45045</v>
      </c>
      <c r="C328" t="s">
        <v>24</v>
      </c>
      <c r="D328" t="s">
        <v>100</v>
      </c>
      <c r="E328">
        <v>16</v>
      </c>
      <c r="F328">
        <v>0</v>
      </c>
      <c r="G328" cm="1">
        <f t="array" ref="G328">SALESTABLE[[#This Row],[Quantity]]*_xlfn.XLOOKUP(SALESTABLE[[#This Row],[Product_ID]],ProductsTable[Product_ID],ProductsTable[Unit_Price],WAASIU,0,1)</f>
        <v>6549.12</v>
      </c>
      <c r="H328" cm="1">
        <f t="array" ref="H328">SALESTABLE[[#This Row],[Quantity]]*_xlfn.XLOOKUP(SALESTABLE[[#This Row],[Product_ID]],ProductsTable[Product_ID],ProductsTable[Cost_Price],WAASIU,0,1)</f>
        <v>3402.4</v>
      </c>
      <c r="I328">
        <f>SALESTABLE[[#This Row],[Revenue]]-SALESTABLE[[#This Row],[COST]]</f>
        <v>3146.72</v>
      </c>
      <c r="J328">
        <f>SALESTABLE[[#This Row],[PROFIT]]/SALESTABLE[[#This Row],[Revenue]]*100</f>
        <v>48.047982018958265</v>
      </c>
    </row>
    <row r="329" spans="1:10" x14ac:dyDescent="0.35">
      <c r="A329" t="s">
        <v>461</v>
      </c>
      <c r="B329" s="4">
        <v>45250</v>
      </c>
      <c r="C329" t="s">
        <v>289</v>
      </c>
      <c r="D329" t="s">
        <v>84</v>
      </c>
      <c r="E329">
        <v>14</v>
      </c>
      <c r="F329">
        <v>15</v>
      </c>
      <c r="G329" cm="1">
        <f t="array" ref="G329">SALESTABLE[[#This Row],[Quantity]]*_xlfn.XLOOKUP(SALESTABLE[[#This Row],[Product_ID]],ProductsTable[Product_ID],ProductsTable[Unit_Price],WAASIU,0,1)</f>
        <v>3764.5999999999995</v>
      </c>
      <c r="H329" cm="1">
        <f t="array" ref="H329">SALESTABLE[[#This Row],[Quantity]]*_xlfn.XLOOKUP(SALESTABLE[[#This Row],[Product_ID]],ProductsTable[Product_ID],ProductsTable[Cost_Price],WAASIU,0,1)</f>
        <v>2182.04</v>
      </c>
      <c r="I329">
        <f>SALESTABLE[[#This Row],[Revenue]]-SALESTABLE[[#This Row],[COST]]</f>
        <v>1582.5599999999995</v>
      </c>
      <c r="J329">
        <f>SALESTABLE[[#This Row],[PROFIT]]/SALESTABLE[[#This Row],[Revenue]]*100</f>
        <v>42.037932316846408</v>
      </c>
    </row>
    <row r="330" spans="1:10" x14ac:dyDescent="0.35">
      <c r="A330" t="s">
        <v>462</v>
      </c>
      <c r="B330" s="4">
        <v>45287</v>
      </c>
      <c r="C330" t="s">
        <v>67</v>
      </c>
      <c r="D330" t="s">
        <v>19</v>
      </c>
      <c r="E330">
        <v>10</v>
      </c>
      <c r="F330">
        <v>15</v>
      </c>
      <c r="G330" cm="1">
        <f t="array" ref="G330">SALESTABLE[[#This Row],[Quantity]]*_xlfn.XLOOKUP(SALESTABLE[[#This Row],[Product_ID]],ProductsTable[Product_ID],ProductsTable[Unit_Price],WAASIU,0,1)</f>
        <v>607.6</v>
      </c>
      <c r="H330" cm="1">
        <f t="array" ref="H330">SALESTABLE[[#This Row],[Quantity]]*_xlfn.XLOOKUP(SALESTABLE[[#This Row],[Product_ID]],ProductsTable[Product_ID],ProductsTable[Cost_Price],WAASIU,0,1)</f>
        <v>404.5</v>
      </c>
      <c r="I330">
        <f>SALESTABLE[[#This Row],[Revenue]]-SALESTABLE[[#This Row],[COST]]</f>
        <v>203.10000000000002</v>
      </c>
      <c r="J330">
        <f>SALESTABLE[[#This Row],[PROFIT]]/SALESTABLE[[#This Row],[Revenue]]*100</f>
        <v>33.426596445029624</v>
      </c>
    </row>
    <row r="331" spans="1:10" x14ac:dyDescent="0.35">
      <c r="A331" t="s">
        <v>463</v>
      </c>
      <c r="B331" s="4">
        <v>45036</v>
      </c>
      <c r="C331" t="s">
        <v>118</v>
      </c>
      <c r="D331" t="s">
        <v>22</v>
      </c>
      <c r="E331">
        <v>8</v>
      </c>
      <c r="F331">
        <v>5</v>
      </c>
      <c r="G331" cm="1">
        <f t="array" ref="G331">SALESTABLE[[#This Row],[Quantity]]*_xlfn.XLOOKUP(SALESTABLE[[#This Row],[Product_ID]],ProductsTable[Product_ID],ProductsTable[Unit_Price],WAASIU,0,1)</f>
        <v>3357.36</v>
      </c>
      <c r="H331" cm="1">
        <f t="array" ref="H331">SALESTABLE[[#This Row],[Quantity]]*_xlfn.XLOOKUP(SALESTABLE[[#This Row],[Product_ID]],ProductsTable[Product_ID],ProductsTable[Cost_Price],WAASIU,0,1)</f>
        <v>1707.36</v>
      </c>
      <c r="I331">
        <f>SALESTABLE[[#This Row],[Revenue]]-SALESTABLE[[#This Row],[COST]]</f>
        <v>1650.0000000000002</v>
      </c>
      <c r="J331">
        <f>SALESTABLE[[#This Row],[PROFIT]]/SALESTABLE[[#This Row],[Revenue]]*100</f>
        <v>49.145757380799203</v>
      </c>
    </row>
    <row r="332" spans="1:10" x14ac:dyDescent="0.35">
      <c r="A332" t="s">
        <v>464</v>
      </c>
      <c r="B332" s="4">
        <v>45359</v>
      </c>
      <c r="C332" t="s">
        <v>83</v>
      </c>
      <c r="D332" t="s">
        <v>57</v>
      </c>
      <c r="E332">
        <v>7</v>
      </c>
      <c r="F332">
        <v>20</v>
      </c>
      <c r="G332" cm="1">
        <f t="array" ref="G332">SALESTABLE[[#This Row],[Quantity]]*_xlfn.XLOOKUP(SALESTABLE[[#This Row],[Product_ID]],ProductsTable[Product_ID],ProductsTable[Unit_Price],WAASIU,0,1)</f>
        <v>1111.8100000000002</v>
      </c>
      <c r="H332" cm="1">
        <f t="array" ref="H332">SALESTABLE[[#This Row],[Quantity]]*_xlfn.XLOOKUP(SALESTABLE[[#This Row],[Product_ID]],ProductsTable[Product_ID],ProductsTable[Cost_Price],WAASIU,0,1)</f>
        <v>888.57999999999993</v>
      </c>
      <c r="I332">
        <f>SALESTABLE[[#This Row],[Revenue]]-SALESTABLE[[#This Row],[COST]]</f>
        <v>223.23000000000025</v>
      </c>
      <c r="J332">
        <f>SALESTABLE[[#This Row],[PROFIT]]/SALESTABLE[[#This Row],[Revenue]]*100</f>
        <v>20.078070893408064</v>
      </c>
    </row>
    <row r="333" spans="1:10" x14ac:dyDescent="0.35">
      <c r="A333" t="s">
        <v>465</v>
      </c>
      <c r="B333" s="4">
        <v>44941</v>
      </c>
      <c r="C333" t="s">
        <v>270</v>
      </c>
      <c r="D333" t="s">
        <v>93</v>
      </c>
      <c r="E333">
        <v>1</v>
      </c>
      <c r="F333">
        <v>10</v>
      </c>
      <c r="G333" cm="1">
        <f t="array" ref="G333">SALESTABLE[[#This Row],[Quantity]]*_xlfn.XLOOKUP(SALESTABLE[[#This Row],[Product_ID]],ProductsTable[Product_ID],ProductsTable[Unit_Price],WAASIU,0,1)</f>
        <v>214.03</v>
      </c>
      <c r="H333" cm="1">
        <f t="array" ref="H333">SALESTABLE[[#This Row],[Quantity]]*_xlfn.XLOOKUP(SALESTABLE[[#This Row],[Product_ID]],ProductsTable[Product_ID],ProductsTable[Cost_Price],WAASIU,0,1)</f>
        <v>156.71</v>
      </c>
      <c r="I333">
        <f>SALESTABLE[[#This Row],[Revenue]]-SALESTABLE[[#This Row],[COST]]</f>
        <v>57.319999999999993</v>
      </c>
      <c r="J333">
        <f>SALESTABLE[[#This Row],[PROFIT]]/SALESTABLE[[#This Row],[Revenue]]*100</f>
        <v>26.781292342195016</v>
      </c>
    </row>
    <row r="334" spans="1:10" x14ac:dyDescent="0.35">
      <c r="A334" t="s">
        <v>466</v>
      </c>
      <c r="B334" s="4">
        <v>45237</v>
      </c>
      <c r="C334" t="s">
        <v>366</v>
      </c>
      <c r="D334" t="s">
        <v>113</v>
      </c>
      <c r="E334">
        <v>8</v>
      </c>
      <c r="F334">
        <v>0</v>
      </c>
      <c r="G334" cm="1">
        <f t="array" ref="G334">SALESTABLE[[#This Row],[Quantity]]*_xlfn.XLOOKUP(SALESTABLE[[#This Row],[Product_ID]],ProductsTable[Product_ID],ProductsTable[Unit_Price],WAASIU,0,1)</f>
        <v>2696.72</v>
      </c>
      <c r="H334" cm="1">
        <f t="array" ref="H334">SALESTABLE[[#This Row],[Quantity]]*_xlfn.XLOOKUP(SALESTABLE[[#This Row],[Product_ID]],ProductsTable[Product_ID],ProductsTable[Cost_Price],WAASIU,0,1)</f>
        <v>1491.28</v>
      </c>
      <c r="I334">
        <f>SALESTABLE[[#This Row],[Revenue]]-SALESTABLE[[#This Row],[COST]]</f>
        <v>1205.4399999999998</v>
      </c>
      <c r="J334">
        <f>SALESTABLE[[#This Row],[PROFIT]]/SALESTABLE[[#This Row],[Revenue]]*100</f>
        <v>44.700228425643004</v>
      </c>
    </row>
    <row r="335" spans="1:10" x14ac:dyDescent="0.35">
      <c r="A335" t="s">
        <v>467</v>
      </c>
      <c r="B335" s="4">
        <v>45569</v>
      </c>
      <c r="C335" t="s">
        <v>112</v>
      </c>
      <c r="D335" t="s">
        <v>248</v>
      </c>
      <c r="E335">
        <v>12</v>
      </c>
      <c r="F335">
        <v>20</v>
      </c>
      <c r="G335" cm="1">
        <f t="array" ref="G335">SALESTABLE[[#This Row],[Quantity]]*_xlfn.XLOOKUP(SALESTABLE[[#This Row],[Product_ID]],ProductsTable[Product_ID],ProductsTable[Unit_Price],WAASIU,0,1)</f>
        <v>2240.52</v>
      </c>
      <c r="H335" cm="1">
        <f t="array" ref="H335">SALESTABLE[[#This Row],[Quantity]]*_xlfn.XLOOKUP(SALESTABLE[[#This Row],[Product_ID]],ProductsTable[Product_ID],ProductsTable[Cost_Price],WAASIU,0,1)</f>
        <v>1502.28</v>
      </c>
      <c r="I335">
        <f>SALESTABLE[[#This Row],[Revenue]]-SALESTABLE[[#This Row],[COST]]</f>
        <v>738.24</v>
      </c>
      <c r="J335">
        <f>SALESTABLE[[#This Row],[PROFIT]]/SALESTABLE[[#This Row],[Revenue]]*100</f>
        <v>32.949493867495043</v>
      </c>
    </row>
    <row r="336" spans="1:10" x14ac:dyDescent="0.35">
      <c r="A336" t="s">
        <v>468</v>
      </c>
      <c r="B336" s="4">
        <v>44966</v>
      </c>
      <c r="C336" t="s">
        <v>156</v>
      </c>
      <c r="D336" t="s">
        <v>25</v>
      </c>
      <c r="E336">
        <v>17</v>
      </c>
      <c r="F336">
        <v>20</v>
      </c>
      <c r="G336" cm="1">
        <f t="array" ref="G336">SALESTABLE[[#This Row],[Quantity]]*_xlfn.XLOOKUP(SALESTABLE[[#This Row],[Product_ID]],ProductsTable[Product_ID],ProductsTable[Unit_Price],WAASIU,0,1)</f>
        <v>3021.92</v>
      </c>
      <c r="H336" cm="1">
        <f t="array" ref="H336">SALESTABLE[[#This Row],[Quantity]]*_xlfn.XLOOKUP(SALESTABLE[[#This Row],[Product_ID]],ProductsTable[Product_ID],ProductsTable[Cost_Price],WAASIU,0,1)</f>
        <v>1561.96</v>
      </c>
      <c r="I336">
        <f>SALESTABLE[[#This Row],[Revenue]]-SALESTABLE[[#This Row],[COST]]</f>
        <v>1459.96</v>
      </c>
      <c r="J336">
        <f>SALESTABLE[[#This Row],[PROFIT]]/SALESTABLE[[#This Row],[Revenue]]*100</f>
        <v>48.312331233123309</v>
      </c>
    </row>
    <row r="337" spans="1:10" x14ac:dyDescent="0.35">
      <c r="A337" t="s">
        <v>469</v>
      </c>
      <c r="B337" s="4">
        <v>45310</v>
      </c>
      <c r="C337" t="s">
        <v>223</v>
      </c>
      <c r="D337" t="s">
        <v>113</v>
      </c>
      <c r="E337">
        <v>9</v>
      </c>
      <c r="F337">
        <v>5</v>
      </c>
      <c r="G337" cm="1">
        <f t="array" ref="G337">SALESTABLE[[#This Row],[Quantity]]*_xlfn.XLOOKUP(SALESTABLE[[#This Row],[Product_ID]],ProductsTable[Product_ID],ProductsTable[Unit_Price],WAASIU,0,1)</f>
        <v>3033.81</v>
      </c>
      <c r="H337" cm="1">
        <f t="array" ref="H337">SALESTABLE[[#This Row],[Quantity]]*_xlfn.XLOOKUP(SALESTABLE[[#This Row],[Product_ID]],ProductsTable[Product_ID],ProductsTable[Cost_Price],WAASIU,0,1)</f>
        <v>1677.69</v>
      </c>
      <c r="I337">
        <f>SALESTABLE[[#This Row],[Revenue]]-SALESTABLE[[#This Row],[COST]]</f>
        <v>1356.12</v>
      </c>
      <c r="J337">
        <f>SALESTABLE[[#This Row],[PROFIT]]/SALESTABLE[[#This Row],[Revenue]]*100</f>
        <v>44.700228425643004</v>
      </c>
    </row>
    <row r="338" spans="1:10" x14ac:dyDescent="0.35">
      <c r="A338" t="s">
        <v>470</v>
      </c>
      <c r="B338" s="4">
        <v>45012</v>
      </c>
      <c r="C338" t="s">
        <v>88</v>
      </c>
      <c r="D338" t="s">
        <v>8</v>
      </c>
      <c r="E338">
        <v>19</v>
      </c>
      <c r="F338">
        <v>0</v>
      </c>
      <c r="G338" cm="1">
        <f t="array" ref="G338">SALESTABLE[[#This Row],[Quantity]]*_xlfn.XLOOKUP(SALESTABLE[[#This Row],[Product_ID]],ProductsTable[Product_ID],ProductsTable[Unit_Price],WAASIU,0,1)</f>
        <v>6390.08</v>
      </c>
      <c r="H338" cm="1">
        <f t="array" ref="H338">SALESTABLE[[#This Row],[Quantity]]*_xlfn.XLOOKUP(SALESTABLE[[#This Row],[Product_ID]],ProductsTable[Product_ID],ProductsTable[Cost_Price],WAASIU,0,1)</f>
        <v>4327.82</v>
      </c>
      <c r="I338">
        <f>SALESTABLE[[#This Row],[Revenue]]-SALESTABLE[[#This Row],[COST]]</f>
        <v>2062.2600000000002</v>
      </c>
      <c r="J338">
        <f>SALESTABLE[[#This Row],[PROFIT]]/SALESTABLE[[#This Row],[Revenue]]*100</f>
        <v>32.272835394862035</v>
      </c>
    </row>
    <row r="339" spans="1:10" x14ac:dyDescent="0.35">
      <c r="A339" t="s">
        <v>471</v>
      </c>
      <c r="B339" s="4">
        <v>45592</v>
      </c>
      <c r="C339" t="s">
        <v>63</v>
      </c>
      <c r="D339" t="s">
        <v>127</v>
      </c>
      <c r="E339">
        <v>4</v>
      </c>
      <c r="F339">
        <v>10</v>
      </c>
      <c r="G339" cm="1">
        <f t="array" ref="G339">SALESTABLE[[#This Row],[Quantity]]*_xlfn.XLOOKUP(SALESTABLE[[#This Row],[Product_ID]],ProductsTable[Product_ID],ProductsTable[Unit_Price],WAASIU,0,1)</f>
        <v>368.28</v>
      </c>
      <c r="H339" cm="1">
        <f t="array" ref="H339">SALESTABLE[[#This Row],[Quantity]]*_xlfn.XLOOKUP(SALESTABLE[[#This Row],[Product_ID]],ProductsTable[Product_ID],ProductsTable[Cost_Price],WAASIU,0,1)</f>
        <v>225.44</v>
      </c>
      <c r="I339">
        <f>SALESTABLE[[#This Row],[Revenue]]-SALESTABLE[[#This Row],[COST]]</f>
        <v>142.83999999999997</v>
      </c>
      <c r="J339">
        <f>SALESTABLE[[#This Row],[PROFIT]]/SALESTABLE[[#This Row],[Revenue]]*100</f>
        <v>38.785706527642006</v>
      </c>
    </row>
    <row r="340" spans="1:10" x14ac:dyDescent="0.35">
      <c r="A340" t="s">
        <v>472</v>
      </c>
      <c r="B340" s="4">
        <v>45432</v>
      </c>
      <c r="C340" t="s">
        <v>352</v>
      </c>
      <c r="D340" t="s">
        <v>52</v>
      </c>
      <c r="E340">
        <v>15</v>
      </c>
      <c r="F340">
        <v>15</v>
      </c>
      <c r="G340" cm="1">
        <f t="array" ref="G340">SALESTABLE[[#This Row],[Quantity]]*_xlfn.XLOOKUP(SALESTABLE[[#This Row],[Product_ID]],ProductsTable[Product_ID],ProductsTable[Unit_Price],WAASIU,0,1)</f>
        <v>2756.7</v>
      </c>
      <c r="H340" cm="1">
        <f t="array" ref="H340">SALESTABLE[[#This Row],[Quantity]]*_xlfn.XLOOKUP(SALESTABLE[[#This Row],[Product_ID]],ProductsTable[Product_ID],ProductsTable[Cost_Price],WAASIU,0,1)</f>
        <v>1734.4499999999998</v>
      </c>
      <c r="I340">
        <f>SALESTABLE[[#This Row],[Revenue]]-SALESTABLE[[#This Row],[COST]]</f>
        <v>1022.25</v>
      </c>
      <c r="J340">
        <f>SALESTABLE[[#This Row],[PROFIT]]/SALESTABLE[[#This Row],[Revenue]]*100</f>
        <v>37.082381107846338</v>
      </c>
    </row>
    <row r="341" spans="1:10" x14ac:dyDescent="0.35">
      <c r="A341" t="s">
        <v>473</v>
      </c>
      <c r="B341" s="4">
        <v>45257</v>
      </c>
      <c r="C341" t="s">
        <v>120</v>
      </c>
      <c r="D341" t="s">
        <v>52</v>
      </c>
      <c r="E341">
        <v>20</v>
      </c>
      <c r="F341">
        <v>10</v>
      </c>
      <c r="G341" cm="1">
        <f t="array" ref="G341">SALESTABLE[[#This Row],[Quantity]]*_xlfn.XLOOKUP(SALESTABLE[[#This Row],[Product_ID]],ProductsTable[Product_ID],ProductsTable[Unit_Price],WAASIU,0,1)</f>
        <v>3675.6</v>
      </c>
      <c r="H341" cm="1">
        <f t="array" ref="H341">SALESTABLE[[#This Row],[Quantity]]*_xlfn.XLOOKUP(SALESTABLE[[#This Row],[Product_ID]],ProductsTable[Product_ID],ProductsTable[Cost_Price],WAASIU,0,1)</f>
        <v>2312.6</v>
      </c>
      <c r="I341">
        <f>SALESTABLE[[#This Row],[Revenue]]-SALESTABLE[[#This Row],[COST]]</f>
        <v>1363</v>
      </c>
      <c r="J341">
        <f>SALESTABLE[[#This Row],[PROFIT]]/SALESTABLE[[#This Row],[Revenue]]*100</f>
        <v>37.082381107846338</v>
      </c>
    </row>
    <row r="342" spans="1:10" x14ac:dyDescent="0.35">
      <c r="A342" t="s">
        <v>474</v>
      </c>
      <c r="B342" s="4">
        <v>45631</v>
      </c>
      <c r="C342" t="s">
        <v>167</v>
      </c>
      <c r="D342" t="s">
        <v>139</v>
      </c>
      <c r="E342">
        <v>7</v>
      </c>
      <c r="F342">
        <v>15</v>
      </c>
      <c r="G342" cm="1">
        <f t="array" ref="G342">SALESTABLE[[#This Row],[Quantity]]*_xlfn.XLOOKUP(SALESTABLE[[#This Row],[Product_ID]],ProductsTable[Product_ID],ProductsTable[Unit_Price],WAASIU,0,1)</f>
        <v>3199.77</v>
      </c>
      <c r="H342" cm="1">
        <f t="array" ref="H342">SALESTABLE[[#This Row],[Quantity]]*_xlfn.XLOOKUP(SALESTABLE[[#This Row],[Product_ID]],ProductsTable[Product_ID],ProductsTable[Cost_Price],WAASIU,0,1)</f>
        <v>2292.64</v>
      </c>
      <c r="I342">
        <f>SALESTABLE[[#This Row],[Revenue]]-SALESTABLE[[#This Row],[COST]]</f>
        <v>907.13000000000011</v>
      </c>
      <c r="J342">
        <f>SALESTABLE[[#This Row],[PROFIT]]/SALESTABLE[[#This Row],[Revenue]]*100</f>
        <v>28.349850145479209</v>
      </c>
    </row>
    <row r="343" spans="1:10" x14ac:dyDescent="0.35">
      <c r="A343" t="s">
        <v>475</v>
      </c>
      <c r="B343" s="4">
        <v>45235</v>
      </c>
      <c r="C343" t="s">
        <v>71</v>
      </c>
      <c r="D343" t="s">
        <v>41</v>
      </c>
      <c r="E343">
        <v>13</v>
      </c>
      <c r="F343">
        <v>20</v>
      </c>
      <c r="G343" cm="1">
        <f t="array" ref="G343">SALESTABLE[[#This Row],[Quantity]]*_xlfn.XLOOKUP(SALESTABLE[[#This Row],[Product_ID]],ProductsTable[Product_ID],ProductsTable[Unit_Price],WAASIU,0,1)</f>
        <v>5534.75</v>
      </c>
      <c r="H343" cm="1">
        <f t="array" ref="H343">SALESTABLE[[#This Row],[Quantity]]*_xlfn.XLOOKUP(SALESTABLE[[#This Row],[Product_ID]],ProductsTable[Product_ID],ProductsTable[Cost_Price],WAASIU,0,1)</f>
        <v>3160.69</v>
      </c>
      <c r="I343">
        <f>SALESTABLE[[#This Row],[Revenue]]-SALESTABLE[[#This Row],[COST]]</f>
        <v>2374.06</v>
      </c>
      <c r="J343">
        <f>SALESTABLE[[#This Row],[PROFIT]]/SALESTABLE[[#This Row],[Revenue]]*100</f>
        <v>42.89371697005285</v>
      </c>
    </row>
    <row r="344" spans="1:10" x14ac:dyDescent="0.35">
      <c r="A344" t="s">
        <v>476</v>
      </c>
      <c r="B344" s="4">
        <v>45362</v>
      </c>
      <c r="C344" t="s">
        <v>229</v>
      </c>
      <c r="D344" t="s">
        <v>97</v>
      </c>
      <c r="E344">
        <v>5</v>
      </c>
      <c r="F344">
        <v>20</v>
      </c>
      <c r="G344" cm="1">
        <f t="array" ref="G344">SALESTABLE[[#This Row],[Quantity]]*_xlfn.XLOOKUP(SALESTABLE[[#This Row],[Product_ID]],ProductsTable[Product_ID],ProductsTable[Unit_Price],WAASIU,0,1)</f>
        <v>1551.05</v>
      </c>
      <c r="H344" cm="1">
        <f t="array" ref="H344">SALESTABLE[[#This Row],[Quantity]]*_xlfn.XLOOKUP(SALESTABLE[[#This Row],[Product_ID]],ProductsTable[Product_ID],ProductsTable[Cost_Price],WAASIU,0,1)</f>
        <v>1126.45</v>
      </c>
      <c r="I344">
        <f>SALESTABLE[[#This Row],[Revenue]]-SALESTABLE[[#This Row],[COST]]</f>
        <v>424.59999999999991</v>
      </c>
      <c r="J344">
        <f>SALESTABLE[[#This Row],[PROFIT]]/SALESTABLE[[#This Row],[Revenue]]*100</f>
        <v>27.375004029528377</v>
      </c>
    </row>
    <row r="345" spans="1:10" x14ac:dyDescent="0.35">
      <c r="A345" t="s">
        <v>477</v>
      </c>
      <c r="B345" s="4">
        <v>45606</v>
      </c>
      <c r="C345" t="s">
        <v>54</v>
      </c>
      <c r="D345" t="s">
        <v>137</v>
      </c>
      <c r="E345">
        <v>1</v>
      </c>
      <c r="F345">
        <v>15</v>
      </c>
      <c r="G345" cm="1">
        <f t="array" ref="G345">SALESTABLE[[#This Row],[Quantity]]*_xlfn.XLOOKUP(SALESTABLE[[#This Row],[Product_ID]],ProductsTable[Product_ID],ProductsTable[Unit_Price],WAASIU,0,1)</f>
        <v>363.44</v>
      </c>
      <c r="H345" cm="1">
        <f t="array" ref="H345">SALESTABLE[[#This Row],[Quantity]]*_xlfn.XLOOKUP(SALESTABLE[[#This Row],[Product_ID]],ProductsTable[Product_ID],ProductsTable[Cost_Price],WAASIU,0,1)</f>
        <v>250.05</v>
      </c>
      <c r="I345">
        <f>SALESTABLE[[#This Row],[Revenue]]-SALESTABLE[[#This Row],[COST]]</f>
        <v>113.38999999999999</v>
      </c>
      <c r="J345">
        <f>SALESTABLE[[#This Row],[PROFIT]]/SALESTABLE[[#This Row],[Revenue]]*100</f>
        <v>31.199097512656831</v>
      </c>
    </row>
    <row r="346" spans="1:10" x14ac:dyDescent="0.35">
      <c r="A346" t="s">
        <v>478</v>
      </c>
      <c r="B346" s="4">
        <v>44982</v>
      </c>
      <c r="C346" t="s">
        <v>331</v>
      </c>
      <c r="D346" t="s">
        <v>52</v>
      </c>
      <c r="E346">
        <v>14</v>
      </c>
      <c r="F346">
        <v>20</v>
      </c>
      <c r="G346" cm="1">
        <f t="array" ref="G346">SALESTABLE[[#This Row],[Quantity]]*_xlfn.XLOOKUP(SALESTABLE[[#This Row],[Product_ID]],ProductsTable[Product_ID],ProductsTable[Unit_Price],WAASIU,0,1)</f>
        <v>2572.92</v>
      </c>
      <c r="H346" cm="1">
        <f t="array" ref="H346">SALESTABLE[[#This Row],[Quantity]]*_xlfn.XLOOKUP(SALESTABLE[[#This Row],[Product_ID]],ProductsTable[Product_ID],ProductsTable[Cost_Price],WAASIU,0,1)</f>
        <v>1618.82</v>
      </c>
      <c r="I346">
        <f>SALESTABLE[[#This Row],[Revenue]]-SALESTABLE[[#This Row],[COST]]</f>
        <v>954.10000000000014</v>
      </c>
      <c r="J346">
        <f>SALESTABLE[[#This Row],[PROFIT]]/SALESTABLE[[#This Row],[Revenue]]*100</f>
        <v>37.082381107846338</v>
      </c>
    </row>
    <row r="347" spans="1:10" x14ac:dyDescent="0.35">
      <c r="A347" t="s">
        <v>479</v>
      </c>
      <c r="B347" s="4">
        <v>45613</v>
      </c>
      <c r="C347" t="s">
        <v>187</v>
      </c>
      <c r="D347" t="s">
        <v>74</v>
      </c>
      <c r="E347">
        <v>19</v>
      </c>
      <c r="F347">
        <v>15</v>
      </c>
      <c r="G347" cm="1">
        <f t="array" ref="G347">SALESTABLE[[#This Row],[Quantity]]*_xlfn.XLOOKUP(SALESTABLE[[#This Row],[Product_ID]],ProductsTable[Product_ID],ProductsTable[Unit_Price],WAASIU,0,1)</f>
        <v>817</v>
      </c>
      <c r="H347" cm="1">
        <f t="array" ref="H347">SALESTABLE[[#This Row],[Quantity]]*_xlfn.XLOOKUP(SALESTABLE[[#This Row],[Product_ID]],ProductsTable[Product_ID],ProductsTable[Cost_Price],WAASIU,0,1)</f>
        <v>570.95000000000005</v>
      </c>
      <c r="I347">
        <f>SALESTABLE[[#This Row],[Revenue]]-SALESTABLE[[#This Row],[COST]]</f>
        <v>246.04999999999995</v>
      </c>
      <c r="J347">
        <f>SALESTABLE[[#This Row],[PROFIT]]/SALESTABLE[[#This Row],[Revenue]]*100</f>
        <v>30.116279069767437</v>
      </c>
    </row>
    <row r="348" spans="1:10" x14ac:dyDescent="0.35">
      <c r="A348" t="s">
        <v>480</v>
      </c>
      <c r="B348" s="4">
        <v>45160</v>
      </c>
      <c r="C348" t="s">
        <v>318</v>
      </c>
      <c r="D348" t="s">
        <v>19</v>
      </c>
      <c r="E348">
        <v>1</v>
      </c>
      <c r="F348">
        <v>20</v>
      </c>
      <c r="G348" cm="1">
        <f t="array" ref="G348">SALESTABLE[[#This Row],[Quantity]]*_xlfn.XLOOKUP(SALESTABLE[[#This Row],[Product_ID]],ProductsTable[Product_ID],ProductsTable[Unit_Price],WAASIU,0,1)</f>
        <v>60.76</v>
      </c>
      <c r="H348" cm="1">
        <f t="array" ref="H348">SALESTABLE[[#This Row],[Quantity]]*_xlfn.XLOOKUP(SALESTABLE[[#This Row],[Product_ID]],ProductsTable[Product_ID],ProductsTable[Cost_Price],WAASIU,0,1)</f>
        <v>40.450000000000003</v>
      </c>
      <c r="I348">
        <f>SALESTABLE[[#This Row],[Revenue]]-SALESTABLE[[#This Row],[COST]]</f>
        <v>20.309999999999995</v>
      </c>
      <c r="J348">
        <f>SALESTABLE[[#This Row],[PROFIT]]/SALESTABLE[[#This Row],[Revenue]]*100</f>
        <v>33.426596445029617</v>
      </c>
    </row>
    <row r="349" spans="1:10" x14ac:dyDescent="0.35">
      <c r="A349" t="s">
        <v>481</v>
      </c>
      <c r="B349" s="4">
        <v>45156</v>
      </c>
      <c r="C349" t="s">
        <v>54</v>
      </c>
      <c r="D349" t="s">
        <v>133</v>
      </c>
      <c r="E349">
        <v>4</v>
      </c>
      <c r="F349">
        <v>5</v>
      </c>
      <c r="G349" cm="1">
        <f t="array" ref="G349">SALESTABLE[[#This Row],[Quantity]]*_xlfn.XLOOKUP(SALESTABLE[[#This Row],[Product_ID]],ProductsTable[Product_ID],ProductsTable[Unit_Price],WAASIU,0,1)</f>
        <v>1404</v>
      </c>
      <c r="H349" cm="1">
        <f t="array" ref="H349">SALESTABLE[[#This Row],[Quantity]]*_xlfn.XLOOKUP(SALESTABLE[[#This Row],[Product_ID]],ProductsTable[Product_ID],ProductsTable[Cost_Price],WAASIU,0,1)</f>
        <v>934.52</v>
      </c>
      <c r="I349">
        <f>SALESTABLE[[#This Row],[Revenue]]-SALESTABLE[[#This Row],[COST]]</f>
        <v>469.48</v>
      </c>
      <c r="J349">
        <f>SALESTABLE[[#This Row],[PROFIT]]/SALESTABLE[[#This Row],[Revenue]]*100</f>
        <v>33.438746438746442</v>
      </c>
    </row>
    <row r="350" spans="1:10" x14ac:dyDescent="0.35">
      <c r="A350" t="s">
        <v>482</v>
      </c>
      <c r="B350" s="4">
        <v>44983</v>
      </c>
      <c r="C350" t="s">
        <v>184</v>
      </c>
      <c r="D350" t="s">
        <v>16</v>
      </c>
      <c r="E350">
        <v>8</v>
      </c>
      <c r="F350">
        <v>20</v>
      </c>
      <c r="G350" cm="1">
        <f t="array" ref="G350">SALESTABLE[[#This Row],[Quantity]]*_xlfn.XLOOKUP(SALESTABLE[[#This Row],[Product_ID]],ProductsTable[Product_ID],ProductsTable[Unit_Price],WAASIU,0,1)</f>
        <v>2897.36</v>
      </c>
      <c r="H350" cm="1">
        <f t="array" ref="H350">SALESTABLE[[#This Row],[Quantity]]*_xlfn.XLOOKUP(SALESTABLE[[#This Row],[Product_ID]],ProductsTable[Product_ID],ProductsTable[Cost_Price],WAASIU,0,1)</f>
        <v>1867.04</v>
      </c>
      <c r="I350">
        <f>SALESTABLE[[#This Row],[Revenue]]-SALESTABLE[[#This Row],[COST]]</f>
        <v>1030.3200000000002</v>
      </c>
      <c r="J350">
        <f>SALESTABLE[[#This Row],[PROFIT]]/SALESTABLE[[#This Row],[Revenue]]*100</f>
        <v>35.56064831432753</v>
      </c>
    </row>
    <row r="351" spans="1:10" x14ac:dyDescent="0.35">
      <c r="A351" t="s">
        <v>483</v>
      </c>
      <c r="B351" s="4">
        <v>45188</v>
      </c>
      <c r="C351" t="s">
        <v>61</v>
      </c>
      <c r="D351" t="s">
        <v>93</v>
      </c>
      <c r="E351">
        <v>2</v>
      </c>
      <c r="F351">
        <v>15</v>
      </c>
      <c r="G351" cm="1">
        <f t="array" ref="G351">SALESTABLE[[#This Row],[Quantity]]*_xlfn.XLOOKUP(SALESTABLE[[#This Row],[Product_ID]],ProductsTable[Product_ID],ProductsTable[Unit_Price],WAASIU,0,1)</f>
        <v>428.06</v>
      </c>
      <c r="H351" cm="1">
        <f t="array" ref="H351">SALESTABLE[[#This Row],[Quantity]]*_xlfn.XLOOKUP(SALESTABLE[[#This Row],[Product_ID]],ProductsTable[Product_ID],ProductsTable[Cost_Price],WAASIU,0,1)</f>
        <v>313.42</v>
      </c>
      <c r="I351">
        <f>SALESTABLE[[#This Row],[Revenue]]-SALESTABLE[[#This Row],[COST]]</f>
        <v>114.63999999999999</v>
      </c>
      <c r="J351">
        <f>SALESTABLE[[#This Row],[PROFIT]]/SALESTABLE[[#This Row],[Revenue]]*100</f>
        <v>26.781292342195016</v>
      </c>
    </row>
    <row r="352" spans="1:10" x14ac:dyDescent="0.35">
      <c r="A352" t="s">
        <v>484</v>
      </c>
      <c r="B352" s="4">
        <v>45440</v>
      </c>
      <c r="C352" t="s">
        <v>7</v>
      </c>
      <c r="D352" t="s">
        <v>34</v>
      </c>
      <c r="E352">
        <v>14</v>
      </c>
      <c r="F352">
        <v>15</v>
      </c>
      <c r="G352" cm="1">
        <f t="array" ref="G352">SALESTABLE[[#This Row],[Quantity]]*_xlfn.XLOOKUP(SALESTABLE[[#This Row],[Product_ID]],ProductsTable[Product_ID],ProductsTable[Unit_Price],WAASIU,0,1)</f>
        <v>4602.5</v>
      </c>
      <c r="H352" cm="1">
        <f t="array" ref="H352">SALESTABLE[[#This Row],[Quantity]]*_xlfn.XLOOKUP(SALESTABLE[[#This Row],[Product_ID]],ProductsTable[Product_ID],ProductsTable[Cost_Price],WAASIU,0,1)</f>
        <v>3264.52</v>
      </c>
      <c r="I352">
        <f>SALESTABLE[[#This Row],[Revenue]]-SALESTABLE[[#This Row],[COST]]</f>
        <v>1337.98</v>
      </c>
      <c r="J352">
        <f>SALESTABLE[[#This Row],[PROFIT]]/SALESTABLE[[#This Row],[Revenue]]*100</f>
        <v>29.070722433460077</v>
      </c>
    </row>
    <row r="353" spans="1:10" x14ac:dyDescent="0.35">
      <c r="A353" t="s">
        <v>485</v>
      </c>
      <c r="B353" s="4">
        <v>45031</v>
      </c>
      <c r="C353" t="s">
        <v>38</v>
      </c>
      <c r="D353" t="s">
        <v>19</v>
      </c>
      <c r="E353">
        <v>19</v>
      </c>
      <c r="F353">
        <v>15</v>
      </c>
      <c r="G353" cm="1">
        <f t="array" ref="G353">SALESTABLE[[#This Row],[Quantity]]*_xlfn.XLOOKUP(SALESTABLE[[#This Row],[Product_ID]],ProductsTable[Product_ID],ProductsTable[Unit_Price],WAASIU,0,1)</f>
        <v>1154.44</v>
      </c>
      <c r="H353" cm="1">
        <f t="array" ref="H353">SALESTABLE[[#This Row],[Quantity]]*_xlfn.XLOOKUP(SALESTABLE[[#This Row],[Product_ID]],ProductsTable[Product_ID],ProductsTable[Cost_Price],WAASIU,0,1)</f>
        <v>768.55000000000007</v>
      </c>
      <c r="I353">
        <f>SALESTABLE[[#This Row],[Revenue]]-SALESTABLE[[#This Row],[COST]]</f>
        <v>385.89</v>
      </c>
      <c r="J353">
        <f>SALESTABLE[[#This Row],[PROFIT]]/SALESTABLE[[#This Row],[Revenue]]*100</f>
        <v>33.426596445029624</v>
      </c>
    </row>
    <row r="354" spans="1:10" x14ac:dyDescent="0.35">
      <c r="A354" t="s">
        <v>486</v>
      </c>
      <c r="B354" s="4">
        <v>45274</v>
      </c>
      <c r="C354" t="s">
        <v>30</v>
      </c>
      <c r="D354" t="s">
        <v>93</v>
      </c>
      <c r="E354">
        <v>11</v>
      </c>
      <c r="F354">
        <v>15</v>
      </c>
      <c r="G354" cm="1">
        <f t="array" ref="G354">SALESTABLE[[#This Row],[Quantity]]*_xlfn.XLOOKUP(SALESTABLE[[#This Row],[Product_ID]],ProductsTable[Product_ID],ProductsTable[Unit_Price],WAASIU,0,1)</f>
        <v>2354.33</v>
      </c>
      <c r="H354" cm="1">
        <f t="array" ref="H354">SALESTABLE[[#This Row],[Quantity]]*_xlfn.XLOOKUP(SALESTABLE[[#This Row],[Product_ID]],ProductsTable[Product_ID],ProductsTable[Cost_Price],WAASIU,0,1)</f>
        <v>1723.8100000000002</v>
      </c>
      <c r="I354">
        <f>SALESTABLE[[#This Row],[Revenue]]-SALESTABLE[[#This Row],[COST]]</f>
        <v>630.51999999999975</v>
      </c>
      <c r="J354">
        <f>SALESTABLE[[#This Row],[PROFIT]]/SALESTABLE[[#This Row],[Revenue]]*100</f>
        <v>26.781292342195012</v>
      </c>
    </row>
    <row r="355" spans="1:10" x14ac:dyDescent="0.35">
      <c r="A355" t="s">
        <v>487</v>
      </c>
      <c r="B355" s="4">
        <v>45157</v>
      </c>
      <c r="C355" t="s">
        <v>129</v>
      </c>
      <c r="D355" t="s">
        <v>107</v>
      </c>
      <c r="E355">
        <v>14</v>
      </c>
      <c r="F355">
        <v>10</v>
      </c>
      <c r="G355" cm="1">
        <f t="array" ref="G355">SALESTABLE[[#This Row],[Quantity]]*_xlfn.XLOOKUP(SALESTABLE[[#This Row],[Product_ID]],ProductsTable[Product_ID],ProductsTable[Unit_Price],WAASIU,0,1)</f>
        <v>910.1400000000001</v>
      </c>
      <c r="H355" cm="1">
        <f t="array" ref="H355">SALESTABLE[[#This Row],[Quantity]]*_xlfn.XLOOKUP(SALESTABLE[[#This Row],[Product_ID]],ProductsTable[Product_ID],ProductsTable[Cost_Price],WAASIU,0,1)</f>
        <v>515.62</v>
      </c>
      <c r="I355">
        <f>SALESTABLE[[#This Row],[Revenue]]-SALESTABLE[[#This Row],[COST]]</f>
        <v>394.5200000000001</v>
      </c>
      <c r="J355">
        <f>SALESTABLE[[#This Row],[PROFIT]]/SALESTABLE[[#This Row],[Revenue]]*100</f>
        <v>43.347177357329649</v>
      </c>
    </row>
    <row r="356" spans="1:10" x14ac:dyDescent="0.35">
      <c r="A356" t="s">
        <v>488</v>
      </c>
      <c r="B356" s="4">
        <v>45214</v>
      </c>
      <c r="C356" t="s">
        <v>366</v>
      </c>
      <c r="D356" t="s">
        <v>139</v>
      </c>
      <c r="E356">
        <v>16</v>
      </c>
      <c r="F356">
        <v>20</v>
      </c>
      <c r="G356" cm="1">
        <f t="array" ref="G356">SALESTABLE[[#This Row],[Quantity]]*_xlfn.XLOOKUP(SALESTABLE[[#This Row],[Product_ID]],ProductsTable[Product_ID],ProductsTable[Unit_Price],WAASIU,0,1)</f>
        <v>7313.76</v>
      </c>
      <c r="H356" cm="1">
        <f t="array" ref="H356">SALESTABLE[[#This Row],[Quantity]]*_xlfn.XLOOKUP(SALESTABLE[[#This Row],[Product_ID]],ProductsTable[Product_ID],ProductsTable[Cost_Price],WAASIU,0,1)</f>
        <v>5240.32</v>
      </c>
      <c r="I356">
        <f>SALESTABLE[[#This Row],[Revenue]]-SALESTABLE[[#This Row],[COST]]</f>
        <v>2073.4400000000005</v>
      </c>
      <c r="J356">
        <f>SALESTABLE[[#This Row],[PROFIT]]/SALESTABLE[[#This Row],[Revenue]]*100</f>
        <v>28.349850145479209</v>
      </c>
    </row>
    <row r="357" spans="1:10" x14ac:dyDescent="0.35">
      <c r="A357" t="s">
        <v>489</v>
      </c>
      <c r="B357" s="4">
        <v>45605</v>
      </c>
      <c r="C357" t="s">
        <v>181</v>
      </c>
      <c r="D357" t="s">
        <v>41</v>
      </c>
      <c r="E357">
        <v>19</v>
      </c>
      <c r="F357">
        <v>5</v>
      </c>
      <c r="G357" cm="1">
        <f t="array" ref="G357">SALESTABLE[[#This Row],[Quantity]]*_xlfn.XLOOKUP(SALESTABLE[[#This Row],[Product_ID]],ProductsTable[Product_ID],ProductsTable[Unit_Price],WAASIU,0,1)</f>
        <v>8089.25</v>
      </c>
      <c r="H357" cm="1">
        <f t="array" ref="H357">SALESTABLE[[#This Row],[Quantity]]*_xlfn.XLOOKUP(SALESTABLE[[#This Row],[Product_ID]],ProductsTable[Product_ID],ProductsTable[Cost_Price],WAASIU,0,1)</f>
        <v>4619.47</v>
      </c>
      <c r="I357">
        <f>SALESTABLE[[#This Row],[Revenue]]-SALESTABLE[[#This Row],[COST]]</f>
        <v>3469.7799999999997</v>
      </c>
      <c r="J357">
        <f>SALESTABLE[[#This Row],[PROFIT]]/SALESTABLE[[#This Row],[Revenue]]*100</f>
        <v>42.893716970052843</v>
      </c>
    </row>
    <row r="358" spans="1:10" x14ac:dyDescent="0.35">
      <c r="A358" t="s">
        <v>490</v>
      </c>
      <c r="B358" s="4">
        <v>45207</v>
      </c>
      <c r="C358" t="s">
        <v>48</v>
      </c>
      <c r="D358" t="s">
        <v>49</v>
      </c>
      <c r="E358">
        <v>15</v>
      </c>
      <c r="F358">
        <v>10</v>
      </c>
      <c r="G358" cm="1">
        <f t="array" ref="G358">SALESTABLE[[#This Row],[Quantity]]*_xlfn.XLOOKUP(SALESTABLE[[#This Row],[Product_ID]],ProductsTable[Product_ID],ProductsTable[Unit_Price],WAASIU,0,1)</f>
        <v>3444.45</v>
      </c>
      <c r="H358" cm="1">
        <f t="array" ref="H358">SALESTABLE[[#This Row],[Quantity]]*_xlfn.XLOOKUP(SALESTABLE[[#This Row],[Product_ID]],ProductsTable[Product_ID],ProductsTable[Cost_Price],WAASIU,0,1)</f>
        <v>1971.2999999999997</v>
      </c>
      <c r="I358">
        <f>SALESTABLE[[#This Row],[Revenue]]-SALESTABLE[[#This Row],[COST]]</f>
        <v>1473.15</v>
      </c>
      <c r="J358">
        <f>SALESTABLE[[#This Row],[PROFIT]]/SALESTABLE[[#This Row],[Revenue]]*100</f>
        <v>42.76880198580325</v>
      </c>
    </row>
    <row r="359" spans="1:10" x14ac:dyDescent="0.35">
      <c r="A359" t="s">
        <v>491</v>
      </c>
      <c r="B359" s="4">
        <v>45404</v>
      </c>
      <c r="C359" t="s">
        <v>122</v>
      </c>
      <c r="D359" t="s">
        <v>77</v>
      </c>
      <c r="E359">
        <v>18</v>
      </c>
      <c r="F359">
        <v>0</v>
      </c>
      <c r="G359" cm="1">
        <f t="array" ref="G359">SALESTABLE[[#This Row],[Quantity]]*_xlfn.XLOOKUP(SALESTABLE[[#This Row],[Product_ID]],ProductsTable[Product_ID],ProductsTable[Unit_Price],WAASIU,0,1)</f>
        <v>1652.3999999999999</v>
      </c>
      <c r="H359" cm="1">
        <f t="array" ref="H359">SALESTABLE[[#This Row],[Quantity]]*_xlfn.XLOOKUP(SALESTABLE[[#This Row],[Product_ID]],ProductsTable[Product_ID],ProductsTable[Cost_Price],WAASIU,0,1)</f>
        <v>881.46</v>
      </c>
      <c r="I359">
        <f>SALESTABLE[[#This Row],[Revenue]]-SALESTABLE[[#This Row],[COST]]</f>
        <v>770.93999999999983</v>
      </c>
      <c r="J359">
        <f>SALESTABLE[[#This Row],[PROFIT]]/SALESTABLE[[#This Row],[Revenue]]*100</f>
        <v>46.655773420479299</v>
      </c>
    </row>
    <row r="360" spans="1:10" x14ac:dyDescent="0.35">
      <c r="A360" t="s">
        <v>492</v>
      </c>
      <c r="B360" s="4">
        <v>45089</v>
      </c>
      <c r="C360" t="s">
        <v>257</v>
      </c>
      <c r="D360" t="s">
        <v>28</v>
      </c>
      <c r="E360">
        <v>15</v>
      </c>
      <c r="F360">
        <v>15</v>
      </c>
      <c r="G360" cm="1">
        <f t="array" ref="G360">SALESTABLE[[#This Row],[Quantity]]*_xlfn.XLOOKUP(SALESTABLE[[#This Row],[Product_ID]],ProductsTable[Product_ID],ProductsTable[Unit_Price],WAASIU,0,1)</f>
        <v>6382.2000000000007</v>
      </c>
      <c r="H360" cm="1">
        <f t="array" ref="H360">SALESTABLE[[#This Row],[Quantity]]*_xlfn.XLOOKUP(SALESTABLE[[#This Row],[Product_ID]],ProductsTable[Product_ID],ProductsTable[Cost_Price],WAASIU,0,1)</f>
        <v>3502.2</v>
      </c>
      <c r="I360">
        <f>SALESTABLE[[#This Row],[Revenue]]-SALESTABLE[[#This Row],[COST]]</f>
        <v>2880.0000000000009</v>
      </c>
      <c r="J360">
        <f>SALESTABLE[[#This Row],[PROFIT]]/SALESTABLE[[#This Row],[Revenue]]*100</f>
        <v>45.125505311648027</v>
      </c>
    </row>
    <row r="361" spans="1:10" x14ac:dyDescent="0.35">
      <c r="A361" t="s">
        <v>493</v>
      </c>
      <c r="B361" s="4">
        <v>45636</v>
      </c>
      <c r="C361" t="s">
        <v>209</v>
      </c>
      <c r="D361" t="s">
        <v>97</v>
      </c>
      <c r="E361">
        <v>1</v>
      </c>
      <c r="F361">
        <v>15</v>
      </c>
      <c r="G361" cm="1">
        <f t="array" ref="G361">SALESTABLE[[#This Row],[Quantity]]*_xlfn.XLOOKUP(SALESTABLE[[#This Row],[Product_ID]],ProductsTable[Product_ID],ProductsTable[Unit_Price],WAASIU,0,1)</f>
        <v>310.20999999999998</v>
      </c>
      <c r="H361" cm="1">
        <f t="array" ref="H361">SALESTABLE[[#This Row],[Quantity]]*_xlfn.XLOOKUP(SALESTABLE[[#This Row],[Product_ID]],ProductsTable[Product_ID],ProductsTable[Cost_Price],WAASIU,0,1)</f>
        <v>225.29</v>
      </c>
      <c r="I361">
        <f>SALESTABLE[[#This Row],[Revenue]]-SALESTABLE[[#This Row],[COST]]</f>
        <v>84.919999999999987</v>
      </c>
      <c r="J361">
        <f>SALESTABLE[[#This Row],[PROFIT]]/SALESTABLE[[#This Row],[Revenue]]*100</f>
        <v>27.375004029528384</v>
      </c>
    </row>
    <row r="362" spans="1:10" x14ac:dyDescent="0.35">
      <c r="A362" t="s">
        <v>494</v>
      </c>
      <c r="B362" s="4">
        <v>44974</v>
      </c>
      <c r="C362" t="s">
        <v>81</v>
      </c>
      <c r="D362" t="s">
        <v>49</v>
      </c>
      <c r="E362">
        <v>20</v>
      </c>
      <c r="F362">
        <v>0</v>
      </c>
      <c r="G362" cm="1">
        <f t="array" ref="G362">SALESTABLE[[#This Row],[Quantity]]*_xlfn.XLOOKUP(SALESTABLE[[#This Row],[Product_ID]],ProductsTable[Product_ID],ProductsTable[Unit_Price],WAASIU,0,1)</f>
        <v>4592.6000000000004</v>
      </c>
      <c r="H362" cm="1">
        <f t="array" ref="H362">SALESTABLE[[#This Row],[Quantity]]*_xlfn.XLOOKUP(SALESTABLE[[#This Row],[Product_ID]],ProductsTable[Product_ID],ProductsTable[Cost_Price],WAASIU,0,1)</f>
        <v>2628.3999999999996</v>
      </c>
      <c r="I362">
        <f>SALESTABLE[[#This Row],[Revenue]]-SALESTABLE[[#This Row],[COST]]</f>
        <v>1964.2000000000007</v>
      </c>
      <c r="J362">
        <f>SALESTABLE[[#This Row],[PROFIT]]/SALESTABLE[[#This Row],[Revenue]]*100</f>
        <v>42.768801985803265</v>
      </c>
    </row>
    <row r="363" spans="1:10" x14ac:dyDescent="0.35">
      <c r="A363" t="s">
        <v>495</v>
      </c>
      <c r="B363" s="4">
        <v>45484</v>
      </c>
      <c r="C363" t="s">
        <v>73</v>
      </c>
      <c r="D363" t="s">
        <v>41</v>
      </c>
      <c r="E363">
        <v>17</v>
      </c>
      <c r="F363">
        <v>15</v>
      </c>
      <c r="G363" cm="1">
        <f t="array" ref="G363">SALESTABLE[[#This Row],[Quantity]]*_xlfn.XLOOKUP(SALESTABLE[[#This Row],[Product_ID]],ProductsTable[Product_ID],ProductsTable[Unit_Price],WAASIU,0,1)</f>
        <v>7237.75</v>
      </c>
      <c r="H363" cm="1">
        <f t="array" ref="H363">SALESTABLE[[#This Row],[Quantity]]*_xlfn.XLOOKUP(SALESTABLE[[#This Row],[Product_ID]],ProductsTable[Product_ID],ProductsTable[Cost_Price],WAASIU,0,1)</f>
        <v>4133.21</v>
      </c>
      <c r="I363">
        <f>SALESTABLE[[#This Row],[Revenue]]-SALESTABLE[[#This Row],[COST]]</f>
        <v>3104.54</v>
      </c>
      <c r="J363">
        <f>SALESTABLE[[#This Row],[PROFIT]]/SALESTABLE[[#This Row],[Revenue]]*100</f>
        <v>42.89371697005285</v>
      </c>
    </row>
    <row r="364" spans="1:10" x14ac:dyDescent="0.35">
      <c r="A364" t="s">
        <v>496</v>
      </c>
      <c r="B364" s="4">
        <v>44986</v>
      </c>
      <c r="C364" t="s">
        <v>167</v>
      </c>
      <c r="D364" t="s">
        <v>44</v>
      </c>
      <c r="E364">
        <v>20</v>
      </c>
      <c r="F364">
        <v>5</v>
      </c>
      <c r="G364" cm="1">
        <f t="array" ref="G364">SALESTABLE[[#This Row],[Quantity]]*_xlfn.XLOOKUP(SALESTABLE[[#This Row],[Product_ID]],ProductsTable[Product_ID],ProductsTable[Unit_Price],WAASIU,0,1)</f>
        <v>2683.8</v>
      </c>
      <c r="H364" cm="1">
        <f t="array" ref="H364">SALESTABLE[[#This Row],[Quantity]]*_xlfn.XLOOKUP(SALESTABLE[[#This Row],[Product_ID]],ProductsTable[Product_ID],ProductsTable[Cost_Price],WAASIU,0,1)</f>
        <v>1666.3999999999999</v>
      </c>
      <c r="I364">
        <f>SALESTABLE[[#This Row],[Revenue]]-SALESTABLE[[#This Row],[COST]]</f>
        <v>1017.4000000000003</v>
      </c>
      <c r="J364">
        <f>SALESTABLE[[#This Row],[PROFIT]]/SALESTABLE[[#This Row],[Revenue]]*100</f>
        <v>37.908935092033694</v>
      </c>
    </row>
    <row r="365" spans="1:10" x14ac:dyDescent="0.35">
      <c r="A365" t="s">
        <v>497</v>
      </c>
      <c r="B365" s="4">
        <v>45222</v>
      </c>
      <c r="C365" t="s">
        <v>144</v>
      </c>
      <c r="D365" t="s">
        <v>97</v>
      </c>
      <c r="E365">
        <v>14</v>
      </c>
      <c r="F365">
        <v>10</v>
      </c>
      <c r="G365" cm="1">
        <f t="array" ref="G365">SALESTABLE[[#This Row],[Quantity]]*_xlfn.XLOOKUP(SALESTABLE[[#This Row],[Product_ID]],ProductsTable[Product_ID],ProductsTable[Unit_Price],WAASIU,0,1)</f>
        <v>4342.9399999999996</v>
      </c>
      <c r="H365" cm="1">
        <f t="array" ref="H365">SALESTABLE[[#This Row],[Quantity]]*_xlfn.XLOOKUP(SALESTABLE[[#This Row],[Product_ID]],ProductsTable[Product_ID],ProductsTable[Cost_Price],WAASIU,0,1)</f>
        <v>3154.06</v>
      </c>
      <c r="I365">
        <f>SALESTABLE[[#This Row],[Revenue]]-SALESTABLE[[#This Row],[COST]]</f>
        <v>1188.8799999999997</v>
      </c>
      <c r="J365">
        <f>SALESTABLE[[#This Row],[PROFIT]]/SALESTABLE[[#This Row],[Revenue]]*100</f>
        <v>27.375004029528377</v>
      </c>
    </row>
    <row r="366" spans="1:10" x14ac:dyDescent="0.35">
      <c r="A366" t="s">
        <v>498</v>
      </c>
      <c r="B366" s="4">
        <v>45652</v>
      </c>
      <c r="C366" t="s">
        <v>92</v>
      </c>
      <c r="D366" t="s">
        <v>113</v>
      </c>
      <c r="E366">
        <v>13</v>
      </c>
      <c r="F366">
        <v>10</v>
      </c>
      <c r="G366" cm="1">
        <f t="array" ref="G366">SALESTABLE[[#This Row],[Quantity]]*_xlfn.XLOOKUP(SALESTABLE[[#This Row],[Product_ID]],ProductsTable[Product_ID],ProductsTable[Unit_Price],WAASIU,0,1)</f>
        <v>4382.17</v>
      </c>
      <c r="H366" cm="1">
        <f t="array" ref="H366">SALESTABLE[[#This Row],[Quantity]]*_xlfn.XLOOKUP(SALESTABLE[[#This Row],[Product_ID]],ProductsTable[Product_ID],ProductsTable[Cost_Price],WAASIU,0,1)</f>
        <v>2423.33</v>
      </c>
      <c r="I366">
        <f>SALESTABLE[[#This Row],[Revenue]]-SALESTABLE[[#This Row],[COST]]</f>
        <v>1958.8400000000001</v>
      </c>
      <c r="J366">
        <f>SALESTABLE[[#This Row],[PROFIT]]/SALESTABLE[[#This Row],[Revenue]]*100</f>
        <v>44.700228425643004</v>
      </c>
    </row>
    <row r="367" spans="1:10" x14ac:dyDescent="0.35">
      <c r="A367" t="s">
        <v>499</v>
      </c>
      <c r="B367" s="4">
        <v>45102</v>
      </c>
      <c r="C367" t="s">
        <v>131</v>
      </c>
      <c r="D367" t="s">
        <v>97</v>
      </c>
      <c r="E367">
        <v>1</v>
      </c>
      <c r="F367">
        <v>15</v>
      </c>
      <c r="G367" cm="1">
        <f t="array" ref="G367">SALESTABLE[[#This Row],[Quantity]]*_xlfn.XLOOKUP(SALESTABLE[[#This Row],[Product_ID]],ProductsTable[Product_ID],ProductsTable[Unit_Price],WAASIU,0,1)</f>
        <v>310.20999999999998</v>
      </c>
      <c r="H367" cm="1">
        <f t="array" ref="H367">SALESTABLE[[#This Row],[Quantity]]*_xlfn.XLOOKUP(SALESTABLE[[#This Row],[Product_ID]],ProductsTable[Product_ID],ProductsTable[Cost_Price],WAASIU,0,1)</f>
        <v>225.29</v>
      </c>
      <c r="I367">
        <f>SALESTABLE[[#This Row],[Revenue]]-SALESTABLE[[#This Row],[COST]]</f>
        <v>84.919999999999987</v>
      </c>
      <c r="J367">
        <f>SALESTABLE[[#This Row],[PROFIT]]/SALESTABLE[[#This Row],[Revenue]]*100</f>
        <v>27.375004029528384</v>
      </c>
    </row>
    <row r="368" spans="1:10" x14ac:dyDescent="0.35">
      <c r="A368" t="s">
        <v>500</v>
      </c>
      <c r="B368" s="4">
        <v>45010</v>
      </c>
      <c r="C368" t="s">
        <v>156</v>
      </c>
      <c r="D368" t="s">
        <v>133</v>
      </c>
      <c r="E368">
        <v>17</v>
      </c>
      <c r="F368">
        <v>15</v>
      </c>
      <c r="G368" cm="1">
        <f t="array" ref="G368">SALESTABLE[[#This Row],[Quantity]]*_xlfn.XLOOKUP(SALESTABLE[[#This Row],[Product_ID]],ProductsTable[Product_ID],ProductsTable[Unit_Price],WAASIU,0,1)</f>
        <v>5967</v>
      </c>
      <c r="H368" cm="1">
        <f t="array" ref="H368">SALESTABLE[[#This Row],[Quantity]]*_xlfn.XLOOKUP(SALESTABLE[[#This Row],[Product_ID]],ProductsTable[Product_ID],ProductsTable[Cost_Price],WAASIU,0,1)</f>
        <v>3971.71</v>
      </c>
      <c r="I368">
        <f>SALESTABLE[[#This Row],[Revenue]]-SALESTABLE[[#This Row],[COST]]</f>
        <v>1995.29</v>
      </c>
      <c r="J368">
        <f>SALESTABLE[[#This Row],[PROFIT]]/SALESTABLE[[#This Row],[Revenue]]*100</f>
        <v>33.438746438746435</v>
      </c>
    </row>
    <row r="369" spans="1:10" x14ac:dyDescent="0.35">
      <c r="A369" t="s">
        <v>501</v>
      </c>
      <c r="B369" s="4">
        <v>45494</v>
      </c>
      <c r="C369" t="s">
        <v>54</v>
      </c>
      <c r="D369" t="s">
        <v>137</v>
      </c>
      <c r="E369">
        <v>5</v>
      </c>
      <c r="F369">
        <v>20</v>
      </c>
      <c r="G369" cm="1">
        <f t="array" ref="G369">SALESTABLE[[#This Row],[Quantity]]*_xlfn.XLOOKUP(SALESTABLE[[#This Row],[Product_ID]],ProductsTable[Product_ID],ProductsTable[Unit_Price],WAASIU,0,1)</f>
        <v>1817.2</v>
      </c>
      <c r="H369" cm="1">
        <f t="array" ref="H369">SALESTABLE[[#This Row],[Quantity]]*_xlfn.XLOOKUP(SALESTABLE[[#This Row],[Product_ID]],ProductsTable[Product_ID],ProductsTable[Cost_Price],WAASIU,0,1)</f>
        <v>1250.25</v>
      </c>
      <c r="I369">
        <f>SALESTABLE[[#This Row],[Revenue]]-SALESTABLE[[#This Row],[COST]]</f>
        <v>566.95000000000005</v>
      </c>
      <c r="J369">
        <f>SALESTABLE[[#This Row],[PROFIT]]/SALESTABLE[[#This Row],[Revenue]]*100</f>
        <v>31.199097512656838</v>
      </c>
    </row>
    <row r="370" spans="1:10" x14ac:dyDescent="0.35">
      <c r="A370" t="s">
        <v>502</v>
      </c>
      <c r="B370" s="4">
        <v>45019</v>
      </c>
      <c r="C370" t="s">
        <v>63</v>
      </c>
      <c r="D370" t="s">
        <v>28</v>
      </c>
      <c r="E370">
        <v>3</v>
      </c>
      <c r="F370">
        <v>10</v>
      </c>
      <c r="G370" cm="1">
        <f t="array" ref="G370">SALESTABLE[[#This Row],[Quantity]]*_xlfn.XLOOKUP(SALESTABLE[[#This Row],[Product_ID]],ProductsTable[Product_ID],ProductsTable[Unit_Price],WAASIU,0,1)</f>
        <v>1276.44</v>
      </c>
      <c r="H370" cm="1">
        <f t="array" ref="H370">SALESTABLE[[#This Row],[Quantity]]*_xlfn.XLOOKUP(SALESTABLE[[#This Row],[Product_ID]],ProductsTable[Product_ID],ProductsTable[Cost_Price],WAASIU,0,1)</f>
        <v>700.43999999999994</v>
      </c>
      <c r="I370">
        <f>SALESTABLE[[#This Row],[Revenue]]-SALESTABLE[[#This Row],[COST]]</f>
        <v>576.00000000000011</v>
      </c>
      <c r="J370">
        <f>SALESTABLE[[#This Row],[PROFIT]]/SALESTABLE[[#This Row],[Revenue]]*100</f>
        <v>45.125505311648027</v>
      </c>
    </row>
    <row r="371" spans="1:10" x14ac:dyDescent="0.35">
      <c r="A371" t="s">
        <v>503</v>
      </c>
      <c r="B371" s="4">
        <v>45228</v>
      </c>
      <c r="C371" t="s">
        <v>131</v>
      </c>
      <c r="D371" t="s">
        <v>100</v>
      </c>
      <c r="E371">
        <v>10</v>
      </c>
      <c r="F371">
        <v>10</v>
      </c>
      <c r="G371" cm="1">
        <f t="array" ref="G371">SALESTABLE[[#This Row],[Quantity]]*_xlfn.XLOOKUP(SALESTABLE[[#This Row],[Product_ID]],ProductsTable[Product_ID],ProductsTable[Unit_Price],WAASIU,0,1)</f>
        <v>4093.2</v>
      </c>
      <c r="H371" cm="1">
        <f t="array" ref="H371">SALESTABLE[[#This Row],[Quantity]]*_xlfn.XLOOKUP(SALESTABLE[[#This Row],[Product_ID]],ProductsTable[Product_ID],ProductsTable[Cost_Price],WAASIU,0,1)</f>
        <v>2126.5</v>
      </c>
      <c r="I371">
        <f>SALESTABLE[[#This Row],[Revenue]]-SALESTABLE[[#This Row],[COST]]</f>
        <v>1966.6999999999998</v>
      </c>
      <c r="J371">
        <f>SALESTABLE[[#This Row],[PROFIT]]/SALESTABLE[[#This Row],[Revenue]]*100</f>
        <v>48.047982018958265</v>
      </c>
    </row>
    <row r="372" spans="1:10" x14ac:dyDescent="0.35">
      <c r="A372" t="s">
        <v>504</v>
      </c>
      <c r="B372" s="4">
        <v>45139</v>
      </c>
      <c r="C372" t="s">
        <v>33</v>
      </c>
      <c r="D372" t="s">
        <v>41</v>
      </c>
      <c r="E372">
        <v>12</v>
      </c>
      <c r="F372">
        <v>0</v>
      </c>
      <c r="G372" cm="1">
        <f t="array" ref="G372">SALESTABLE[[#This Row],[Quantity]]*_xlfn.XLOOKUP(SALESTABLE[[#This Row],[Product_ID]],ProductsTable[Product_ID],ProductsTable[Unit_Price],WAASIU,0,1)</f>
        <v>5109</v>
      </c>
      <c r="H372" cm="1">
        <f t="array" ref="H372">SALESTABLE[[#This Row],[Quantity]]*_xlfn.XLOOKUP(SALESTABLE[[#This Row],[Product_ID]],ProductsTable[Product_ID],ProductsTable[Cost_Price],WAASIU,0,1)</f>
        <v>2917.56</v>
      </c>
      <c r="I372">
        <f>SALESTABLE[[#This Row],[Revenue]]-SALESTABLE[[#This Row],[COST]]</f>
        <v>2191.44</v>
      </c>
      <c r="J372">
        <f>SALESTABLE[[#This Row],[PROFIT]]/SALESTABLE[[#This Row],[Revenue]]*100</f>
        <v>42.89371697005285</v>
      </c>
    </row>
    <row r="373" spans="1:10" x14ac:dyDescent="0.35">
      <c r="A373" t="s">
        <v>505</v>
      </c>
      <c r="B373" s="4">
        <v>45550</v>
      </c>
      <c r="C373" t="s">
        <v>46</v>
      </c>
      <c r="D373" t="s">
        <v>107</v>
      </c>
      <c r="E373">
        <v>1</v>
      </c>
      <c r="F373">
        <v>10</v>
      </c>
      <c r="G373" cm="1">
        <f t="array" ref="G373">SALESTABLE[[#This Row],[Quantity]]*_xlfn.XLOOKUP(SALESTABLE[[#This Row],[Product_ID]],ProductsTable[Product_ID],ProductsTable[Unit_Price],WAASIU,0,1)</f>
        <v>65.010000000000005</v>
      </c>
      <c r="H373" cm="1">
        <f t="array" ref="H373">SALESTABLE[[#This Row],[Quantity]]*_xlfn.XLOOKUP(SALESTABLE[[#This Row],[Product_ID]],ProductsTable[Product_ID],ProductsTable[Cost_Price],WAASIU,0,1)</f>
        <v>36.83</v>
      </c>
      <c r="I373">
        <f>SALESTABLE[[#This Row],[Revenue]]-SALESTABLE[[#This Row],[COST]]</f>
        <v>28.180000000000007</v>
      </c>
      <c r="J373">
        <f>SALESTABLE[[#This Row],[PROFIT]]/SALESTABLE[[#This Row],[Revenue]]*100</f>
        <v>43.347177357329649</v>
      </c>
    </row>
    <row r="374" spans="1:10" x14ac:dyDescent="0.35">
      <c r="A374" t="s">
        <v>506</v>
      </c>
      <c r="B374" s="4">
        <v>45489</v>
      </c>
      <c r="C374" t="s">
        <v>181</v>
      </c>
      <c r="D374" t="s">
        <v>22</v>
      </c>
      <c r="E374">
        <v>2</v>
      </c>
      <c r="F374">
        <v>20</v>
      </c>
      <c r="G374" cm="1">
        <f t="array" ref="G374">SALESTABLE[[#This Row],[Quantity]]*_xlfn.XLOOKUP(SALESTABLE[[#This Row],[Product_ID]],ProductsTable[Product_ID],ProductsTable[Unit_Price],WAASIU,0,1)</f>
        <v>839.34</v>
      </c>
      <c r="H374" cm="1">
        <f t="array" ref="H374">SALESTABLE[[#This Row],[Quantity]]*_xlfn.XLOOKUP(SALESTABLE[[#This Row],[Product_ID]],ProductsTable[Product_ID],ProductsTable[Cost_Price],WAASIU,0,1)</f>
        <v>426.84</v>
      </c>
      <c r="I374">
        <f>SALESTABLE[[#This Row],[Revenue]]-SALESTABLE[[#This Row],[COST]]</f>
        <v>412.50000000000006</v>
      </c>
      <c r="J374">
        <f>SALESTABLE[[#This Row],[PROFIT]]/SALESTABLE[[#This Row],[Revenue]]*100</f>
        <v>49.145757380799203</v>
      </c>
    </row>
    <row r="375" spans="1:10" x14ac:dyDescent="0.35">
      <c r="A375" t="s">
        <v>507</v>
      </c>
      <c r="B375" s="4">
        <v>45561</v>
      </c>
      <c r="C375" t="s">
        <v>270</v>
      </c>
      <c r="D375" t="s">
        <v>113</v>
      </c>
      <c r="E375">
        <v>5</v>
      </c>
      <c r="F375">
        <v>10</v>
      </c>
      <c r="G375" cm="1">
        <f t="array" ref="G375">SALESTABLE[[#This Row],[Quantity]]*_xlfn.XLOOKUP(SALESTABLE[[#This Row],[Product_ID]],ProductsTable[Product_ID],ProductsTable[Unit_Price],WAASIU,0,1)</f>
        <v>1685.4499999999998</v>
      </c>
      <c r="H375" cm="1">
        <f t="array" ref="H375">SALESTABLE[[#This Row],[Quantity]]*_xlfn.XLOOKUP(SALESTABLE[[#This Row],[Product_ID]],ProductsTable[Product_ID],ProductsTable[Cost_Price],WAASIU,0,1)</f>
        <v>932.05</v>
      </c>
      <c r="I375">
        <f>SALESTABLE[[#This Row],[Revenue]]-SALESTABLE[[#This Row],[COST]]</f>
        <v>753.39999999999986</v>
      </c>
      <c r="J375">
        <f>SALESTABLE[[#This Row],[PROFIT]]/SALESTABLE[[#This Row],[Revenue]]*100</f>
        <v>44.700228425643004</v>
      </c>
    </row>
    <row r="376" spans="1:10" x14ac:dyDescent="0.35">
      <c r="A376" t="s">
        <v>508</v>
      </c>
      <c r="B376" s="4">
        <v>45617</v>
      </c>
      <c r="C376" t="s">
        <v>304</v>
      </c>
      <c r="D376" t="s">
        <v>57</v>
      </c>
      <c r="E376">
        <v>9</v>
      </c>
      <c r="F376">
        <v>0</v>
      </c>
      <c r="G376" cm="1">
        <f t="array" ref="G376">SALESTABLE[[#This Row],[Quantity]]*_xlfn.XLOOKUP(SALESTABLE[[#This Row],[Product_ID]],ProductsTable[Product_ID],ProductsTable[Unit_Price],WAASIU,0,1)</f>
        <v>1429.47</v>
      </c>
      <c r="H376" cm="1">
        <f t="array" ref="H376">SALESTABLE[[#This Row],[Quantity]]*_xlfn.XLOOKUP(SALESTABLE[[#This Row],[Product_ID]],ProductsTable[Product_ID],ProductsTable[Cost_Price],WAASIU,0,1)</f>
        <v>1142.46</v>
      </c>
      <c r="I376">
        <f>SALESTABLE[[#This Row],[Revenue]]-SALESTABLE[[#This Row],[COST]]</f>
        <v>287.01</v>
      </c>
      <c r="J376">
        <f>SALESTABLE[[#This Row],[PROFIT]]/SALESTABLE[[#This Row],[Revenue]]*100</f>
        <v>20.078070893408047</v>
      </c>
    </row>
    <row r="377" spans="1:10" x14ac:dyDescent="0.35">
      <c r="A377" t="s">
        <v>509</v>
      </c>
      <c r="B377" s="4">
        <v>45316</v>
      </c>
      <c r="C377" t="s">
        <v>142</v>
      </c>
      <c r="D377" t="s">
        <v>8</v>
      </c>
      <c r="E377">
        <v>6</v>
      </c>
      <c r="F377">
        <v>10</v>
      </c>
      <c r="G377" cm="1">
        <f t="array" ref="G377">SALESTABLE[[#This Row],[Quantity]]*_xlfn.XLOOKUP(SALESTABLE[[#This Row],[Product_ID]],ProductsTable[Product_ID],ProductsTable[Unit_Price],WAASIU,0,1)</f>
        <v>2017.92</v>
      </c>
      <c r="H377" cm="1">
        <f t="array" ref="H377">SALESTABLE[[#This Row],[Quantity]]*_xlfn.XLOOKUP(SALESTABLE[[#This Row],[Product_ID]],ProductsTable[Product_ID],ProductsTable[Cost_Price],WAASIU,0,1)</f>
        <v>1366.68</v>
      </c>
      <c r="I377">
        <f>SALESTABLE[[#This Row],[Revenue]]-SALESTABLE[[#This Row],[COST]]</f>
        <v>651.24</v>
      </c>
      <c r="J377">
        <f>SALESTABLE[[#This Row],[PROFIT]]/SALESTABLE[[#This Row],[Revenue]]*100</f>
        <v>32.272835394862035</v>
      </c>
    </row>
    <row r="378" spans="1:10" x14ac:dyDescent="0.35">
      <c r="A378" t="s">
        <v>510</v>
      </c>
      <c r="B378" s="4">
        <v>45434</v>
      </c>
      <c r="C378" t="s">
        <v>38</v>
      </c>
      <c r="D378" t="s">
        <v>44</v>
      </c>
      <c r="E378">
        <v>8</v>
      </c>
      <c r="F378">
        <v>10</v>
      </c>
      <c r="G378" cm="1">
        <f t="array" ref="G378">SALESTABLE[[#This Row],[Quantity]]*_xlfn.XLOOKUP(SALESTABLE[[#This Row],[Product_ID]],ProductsTable[Product_ID],ProductsTable[Unit_Price],WAASIU,0,1)</f>
        <v>1073.52</v>
      </c>
      <c r="H378" cm="1">
        <f t="array" ref="H378">SALESTABLE[[#This Row],[Quantity]]*_xlfn.XLOOKUP(SALESTABLE[[#This Row],[Product_ID]],ProductsTable[Product_ID],ProductsTable[Cost_Price],WAASIU,0,1)</f>
        <v>666.56</v>
      </c>
      <c r="I378">
        <f>SALESTABLE[[#This Row],[Revenue]]-SALESTABLE[[#This Row],[COST]]</f>
        <v>406.96000000000004</v>
      </c>
      <c r="J378">
        <f>SALESTABLE[[#This Row],[PROFIT]]/SALESTABLE[[#This Row],[Revenue]]*100</f>
        <v>37.908935092033687</v>
      </c>
    </row>
    <row r="379" spans="1:10" x14ac:dyDescent="0.35">
      <c r="A379" t="s">
        <v>511</v>
      </c>
      <c r="B379" s="4">
        <v>45443</v>
      </c>
      <c r="C379" t="s">
        <v>284</v>
      </c>
      <c r="D379" t="s">
        <v>57</v>
      </c>
      <c r="E379">
        <v>8</v>
      </c>
      <c r="F379">
        <v>15</v>
      </c>
      <c r="G379" cm="1">
        <f t="array" ref="G379">SALESTABLE[[#This Row],[Quantity]]*_xlfn.XLOOKUP(SALESTABLE[[#This Row],[Product_ID]],ProductsTable[Product_ID],ProductsTable[Unit_Price],WAASIU,0,1)</f>
        <v>1270.6400000000001</v>
      </c>
      <c r="H379" cm="1">
        <f t="array" ref="H379">SALESTABLE[[#This Row],[Quantity]]*_xlfn.XLOOKUP(SALESTABLE[[#This Row],[Product_ID]],ProductsTable[Product_ID],ProductsTable[Cost_Price],WAASIU,0,1)</f>
        <v>1015.52</v>
      </c>
      <c r="I379">
        <f>SALESTABLE[[#This Row],[Revenue]]-SALESTABLE[[#This Row],[COST]]</f>
        <v>255.12000000000012</v>
      </c>
      <c r="J379">
        <f>SALESTABLE[[#This Row],[PROFIT]]/SALESTABLE[[#This Row],[Revenue]]*100</f>
        <v>20.078070893408054</v>
      </c>
    </row>
    <row r="380" spans="1:10" x14ac:dyDescent="0.35">
      <c r="A380" t="s">
        <v>512</v>
      </c>
      <c r="B380" s="4">
        <v>45615</v>
      </c>
      <c r="C380" t="s">
        <v>274</v>
      </c>
      <c r="D380" t="s">
        <v>41</v>
      </c>
      <c r="E380">
        <v>8</v>
      </c>
      <c r="F380">
        <v>5</v>
      </c>
      <c r="G380" cm="1">
        <f t="array" ref="G380">SALESTABLE[[#This Row],[Quantity]]*_xlfn.XLOOKUP(SALESTABLE[[#This Row],[Product_ID]],ProductsTable[Product_ID],ProductsTable[Unit_Price],WAASIU,0,1)</f>
        <v>3406</v>
      </c>
      <c r="H380" cm="1">
        <f t="array" ref="H380">SALESTABLE[[#This Row],[Quantity]]*_xlfn.XLOOKUP(SALESTABLE[[#This Row],[Product_ID]],ProductsTable[Product_ID],ProductsTable[Cost_Price],WAASIU,0,1)</f>
        <v>1945.04</v>
      </c>
      <c r="I380">
        <f>SALESTABLE[[#This Row],[Revenue]]-SALESTABLE[[#This Row],[COST]]</f>
        <v>1460.96</v>
      </c>
      <c r="J380">
        <f>SALESTABLE[[#This Row],[PROFIT]]/SALESTABLE[[#This Row],[Revenue]]*100</f>
        <v>42.89371697005285</v>
      </c>
    </row>
    <row r="381" spans="1:10" x14ac:dyDescent="0.35">
      <c r="A381" t="s">
        <v>513</v>
      </c>
      <c r="B381" s="4">
        <v>45045</v>
      </c>
      <c r="C381" t="s">
        <v>36</v>
      </c>
      <c r="D381" t="s">
        <v>133</v>
      </c>
      <c r="E381">
        <v>8</v>
      </c>
      <c r="F381">
        <v>5</v>
      </c>
      <c r="G381" cm="1">
        <f t="array" ref="G381">SALESTABLE[[#This Row],[Quantity]]*_xlfn.XLOOKUP(SALESTABLE[[#This Row],[Product_ID]],ProductsTable[Product_ID],ProductsTable[Unit_Price],WAASIU,0,1)</f>
        <v>2808</v>
      </c>
      <c r="H381" cm="1">
        <f t="array" ref="H381">SALESTABLE[[#This Row],[Quantity]]*_xlfn.XLOOKUP(SALESTABLE[[#This Row],[Product_ID]],ProductsTable[Product_ID],ProductsTable[Cost_Price],WAASIU,0,1)</f>
        <v>1869.04</v>
      </c>
      <c r="I381">
        <f>SALESTABLE[[#This Row],[Revenue]]-SALESTABLE[[#This Row],[COST]]</f>
        <v>938.96</v>
      </c>
      <c r="J381">
        <f>SALESTABLE[[#This Row],[PROFIT]]/SALESTABLE[[#This Row],[Revenue]]*100</f>
        <v>33.438746438746442</v>
      </c>
    </row>
    <row r="382" spans="1:10" x14ac:dyDescent="0.35">
      <c r="A382" t="s">
        <v>514</v>
      </c>
      <c r="B382" s="4">
        <v>45602</v>
      </c>
      <c r="C382" t="s">
        <v>48</v>
      </c>
      <c r="D382" t="s">
        <v>16</v>
      </c>
      <c r="E382">
        <v>13</v>
      </c>
      <c r="F382">
        <v>10</v>
      </c>
      <c r="G382" cm="1">
        <f t="array" ref="G382">SALESTABLE[[#This Row],[Quantity]]*_xlfn.XLOOKUP(SALESTABLE[[#This Row],[Product_ID]],ProductsTable[Product_ID],ProductsTable[Unit_Price],WAASIU,0,1)</f>
        <v>4708.21</v>
      </c>
      <c r="H382" cm="1">
        <f t="array" ref="H382">SALESTABLE[[#This Row],[Quantity]]*_xlfn.XLOOKUP(SALESTABLE[[#This Row],[Product_ID]],ProductsTable[Product_ID],ProductsTable[Cost_Price],WAASIU,0,1)</f>
        <v>3033.94</v>
      </c>
      <c r="I382">
        <f>SALESTABLE[[#This Row],[Revenue]]-SALESTABLE[[#This Row],[COST]]</f>
        <v>1674.27</v>
      </c>
      <c r="J382">
        <f>SALESTABLE[[#This Row],[PROFIT]]/SALESTABLE[[#This Row],[Revenue]]*100</f>
        <v>35.560648314327523</v>
      </c>
    </row>
    <row r="383" spans="1:10" x14ac:dyDescent="0.35">
      <c r="A383" t="s">
        <v>515</v>
      </c>
      <c r="B383" s="4">
        <v>45110</v>
      </c>
      <c r="C383" t="s">
        <v>251</v>
      </c>
      <c r="D383" t="s">
        <v>77</v>
      </c>
      <c r="E383">
        <v>5</v>
      </c>
      <c r="F383">
        <v>15</v>
      </c>
      <c r="G383" cm="1">
        <f t="array" ref="G383">SALESTABLE[[#This Row],[Quantity]]*_xlfn.XLOOKUP(SALESTABLE[[#This Row],[Product_ID]],ProductsTable[Product_ID],ProductsTable[Unit_Price],WAASIU,0,1)</f>
        <v>459</v>
      </c>
      <c r="H383" cm="1">
        <f t="array" ref="H383">SALESTABLE[[#This Row],[Quantity]]*_xlfn.XLOOKUP(SALESTABLE[[#This Row],[Product_ID]],ProductsTable[Product_ID],ProductsTable[Cost_Price],WAASIU,0,1)</f>
        <v>244.85</v>
      </c>
      <c r="I383">
        <f>SALESTABLE[[#This Row],[Revenue]]-SALESTABLE[[#This Row],[COST]]</f>
        <v>214.15</v>
      </c>
      <c r="J383">
        <f>SALESTABLE[[#This Row],[PROFIT]]/SALESTABLE[[#This Row],[Revenue]]*100</f>
        <v>46.655773420479299</v>
      </c>
    </row>
    <row r="384" spans="1:10" x14ac:dyDescent="0.35">
      <c r="A384" t="s">
        <v>516</v>
      </c>
      <c r="B384" s="4">
        <v>45585</v>
      </c>
      <c r="C384" t="s">
        <v>331</v>
      </c>
      <c r="D384" t="s">
        <v>11</v>
      </c>
      <c r="E384">
        <v>17</v>
      </c>
      <c r="F384">
        <v>0</v>
      </c>
      <c r="G384" cm="1">
        <f t="array" ref="G384">SALESTABLE[[#This Row],[Quantity]]*_xlfn.XLOOKUP(SALESTABLE[[#This Row],[Product_ID]],ProductsTable[Product_ID],ProductsTable[Unit_Price],WAASIU,0,1)</f>
        <v>8113.59</v>
      </c>
      <c r="H384" cm="1">
        <f t="array" ref="H384">SALESTABLE[[#This Row],[Quantity]]*_xlfn.XLOOKUP(SALESTABLE[[#This Row],[Product_ID]],ProductsTable[Product_ID],ProductsTable[Cost_Price],WAASIU,0,1)</f>
        <v>5080.28</v>
      </c>
      <c r="I384">
        <f>SALESTABLE[[#This Row],[Revenue]]-SALESTABLE[[#This Row],[COST]]</f>
        <v>3033.3100000000004</v>
      </c>
      <c r="J384">
        <f>SALESTABLE[[#This Row],[PROFIT]]/SALESTABLE[[#This Row],[Revenue]]*100</f>
        <v>37.385546965030279</v>
      </c>
    </row>
    <row r="385" spans="1:10" x14ac:dyDescent="0.35">
      <c r="A385" t="s">
        <v>517</v>
      </c>
      <c r="B385" s="4">
        <v>45591</v>
      </c>
      <c r="C385" t="s">
        <v>356</v>
      </c>
      <c r="D385" t="s">
        <v>25</v>
      </c>
      <c r="E385">
        <v>14</v>
      </c>
      <c r="F385">
        <v>0</v>
      </c>
      <c r="G385" cm="1">
        <f t="array" ref="G385">SALESTABLE[[#This Row],[Quantity]]*_xlfn.XLOOKUP(SALESTABLE[[#This Row],[Product_ID]],ProductsTable[Product_ID],ProductsTable[Unit_Price],WAASIU,0,1)</f>
        <v>2488.64</v>
      </c>
      <c r="H385" cm="1">
        <f t="array" ref="H385">SALESTABLE[[#This Row],[Quantity]]*_xlfn.XLOOKUP(SALESTABLE[[#This Row],[Product_ID]],ProductsTable[Product_ID],ProductsTable[Cost_Price],WAASIU,0,1)</f>
        <v>1286.32</v>
      </c>
      <c r="I385">
        <f>SALESTABLE[[#This Row],[Revenue]]-SALESTABLE[[#This Row],[COST]]</f>
        <v>1202.32</v>
      </c>
      <c r="J385">
        <f>SALESTABLE[[#This Row],[PROFIT]]/SALESTABLE[[#This Row],[Revenue]]*100</f>
        <v>48.312331233123309</v>
      </c>
    </row>
    <row r="386" spans="1:10" x14ac:dyDescent="0.35">
      <c r="A386" t="s">
        <v>518</v>
      </c>
      <c r="B386" s="4">
        <v>44977</v>
      </c>
      <c r="C386" t="s">
        <v>195</v>
      </c>
      <c r="D386" t="s">
        <v>107</v>
      </c>
      <c r="E386">
        <v>17</v>
      </c>
      <c r="F386">
        <v>10</v>
      </c>
      <c r="G386" cm="1">
        <f t="array" ref="G386">SALESTABLE[[#This Row],[Quantity]]*_xlfn.XLOOKUP(SALESTABLE[[#This Row],[Product_ID]],ProductsTable[Product_ID],ProductsTable[Unit_Price],WAASIU,0,1)</f>
        <v>1105.17</v>
      </c>
      <c r="H386" cm="1">
        <f t="array" ref="H386">SALESTABLE[[#This Row],[Quantity]]*_xlfn.XLOOKUP(SALESTABLE[[#This Row],[Product_ID]],ProductsTable[Product_ID],ProductsTable[Cost_Price],WAASIU,0,1)</f>
        <v>626.11</v>
      </c>
      <c r="I386">
        <f>SALESTABLE[[#This Row],[Revenue]]-SALESTABLE[[#This Row],[COST]]</f>
        <v>479.06000000000006</v>
      </c>
      <c r="J386">
        <f>SALESTABLE[[#This Row],[PROFIT]]/SALESTABLE[[#This Row],[Revenue]]*100</f>
        <v>43.347177357329642</v>
      </c>
    </row>
    <row r="387" spans="1:10" x14ac:dyDescent="0.35">
      <c r="A387" t="s">
        <v>519</v>
      </c>
      <c r="B387" s="4">
        <v>44986</v>
      </c>
      <c r="C387" t="s">
        <v>48</v>
      </c>
      <c r="D387" t="s">
        <v>110</v>
      </c>
      <c r="E387">
        <v>2</v>
      </c>
      <c r="F387">
        <v>5</v>
      </c>
      <c r="G387" cm="1">
        <f t="array" ref="G387">SALESTABLE[[#This Row],[Quantity]]*_xlfn.XLOOKUP(SALESTABLE[[#This Row],[Product_ID]],ProductsTable[Product_ID],ProductsTable[Unit_Price],WAASIU,0,1)</f>
        <v>982.64</v>
      </c>
      <c r="H387" cm="1">
        <f t="array" ref="H387">SALESTABLE[[#This Row],[Quantity]]*_xlfn.XLOOKUP(SALESTABLE[[#This Row],[Product_ID]],ProductsTable[Product_ID],ProductsTable[Cost_Price],WAASIU,0,1)</f>
        <v>536.22</v>
      </c>
      <c r="I387">
        <f>SALESTABLE[[#This Row],[Revenue]]-SALESTABLE[[#This Row],[COST]]</f>
        <v>446.41999999999996</v>
      </c>
      <c r="J387">
        <f>SALESTABLE[[#This Row],[PROFIT]]/SALESTABLE[[#This Row],[Revenue]]*100</f>
        <v>45.430676544818041</v>
      </c>
    </row>
    <row r="388" spans="1:10" x14ac:dyDescent="0.35">
      <c r="A388" t="s">
        <v>520</v>
      </c>
      <c r="B388" s="4">
        <v>45263</v>
      </c>
      <c r="C388" t="s">
        <v>83</v>
      </c>
      <c r="D388" t="s">
        <v>137</v>
      </c>
      <c r="E388">
        <v>20</v>
      </c>
      <c r="F388">
        <v>5</v>
      </c>
      <c r="G388" cm="1">
        <f t="array" ref="G388">SALESTABLE[[#This Row],[Quantity]]*_xlfn.XLOOKUP(SALESTABLE[[#This Row],[Product_ID]],ProductsTable[Product_ID],ProductsTable[Unit_Price],WAASIU,0,1)</f>
        <v>7268.8</v>
      </c>
      <c r="H388" cm="1">
        <f t="array" ref="H388">SALESTABLE[[#This Row],[Quantity]]*_xlfn.XLOOKUP(SALESTABLE[[#This Row],[Product_ID]],ProductsTable[Product_ID],ProductsTable[Cost_Price],WAASIU,0,1)</f>
        <v>5001</v>
      </c>
      <c r="I388">
        <f>SALESTABLE[[#This Row],[Revenue]]-SALESTABLE[[#This Row],[COST]]</f>
        <v>2267.8000000000002</v>
      </c>
      <c r="J388">
        <f>SALESTABLE[[#This Row],[PROFIT]]/SALESTABLE[[#This Row],[Revenue]]*100</f>
        <v>31.199097512656838</v>
      </c>
    </row>
    <row r="389" spans="1:10" x14ac:dyDescent="0.35">
      <c r="A389" t="s">
        <v>521</v>
      </c>
      <c r="B389" s="4">
        <v>45492</v>
      </c>
      <c r="C389" t="s">
        <v>154</v>
      </c>
      <c r="D389" t="s">
        <v>8</v>
      </c>
      <c r="E389">
        <v>4</v>
      </c>
      <c r="F389">
        <v>5</v>
      </c>
      <c r="G389" cm="1">
        <f t="array" ref="G389">SALESTABLE[[#This Row],[Quantity]]*_xlfn.XLOOKUP(SALESTABLE[[#This Row],[Product_ID]],ProductsTable[Product_ID],ProductsTable[Unit_Price],WAASIU,0,1)</f>
        <v>1345.28</v>
      </c>
      <c r="H389" cm="1">
        <f t="array" ref="H389">SALESTABLE[[#This Row],[Quantity]]*_xlfn.XLOOKUP(SALESTABLE[[#This Row],[Product_ID]],ProductsTable[Product_ID],ProductsTable[Cost_Price],WAASIU,0,1)</f>
        <v>911.12</v>
      </c>
      <c r="I389">
        <f>SALESTABLE[[#This Row],[Revenue]]-SALESTABLE[[#This Row],[COST]]</f>
        <v>434.15999999999997</v>
      </c>
      <c r="J389">
        <f>SALESTABLE[[#This Row],[PROFIT]]/SALESTABLE[[#This Row],[Revenue]]*100</f>
        <v>32.272835394862028</v>
      </c>
    </row>
    <row r="390" spans="1:10" x14ac:dyDescent="0.35">
      <c r="A390" t="s">
        <v>522</v>
      </c>
      <c r="B390" s="4">
        <v>45483</v>
      </c>
      <c r="C390" t="s">
        <v>174</v>
      </c>
      <c r="D390" t="s">
        <v>84</v>
      </c>
      <c r="E390">
        <v>20</v>
      </c>
      <c r="F390">
        <v>20</v>
      </c>
      <c r="G390" cm="1">
        <f t="array" ref="G390">SALESTABLE[[#This Row],[Quantity]]*_xlfn.XLOOKUP(SALESTABLE[[#This Row],[Product_ID]],ProductsTable[Product_ID],ProductsTable[Unit_Price],WAASIU,0,1)</f>
        <v>5378</v>
      </c>
      <c r="H390" cm="1">
        <f t="array" ref="H390">SALESTABLE[[#This Row],[Quantity]]*_xlfn.XLOOKUP(SALESTABLE[[#This Row],[Product_ID]],ProductsTable[Product_ID],ProductsTable[Cost_Price],WAASIU,0,1)</f>
        <v>3117.2000000000003</v>
      </c>
      <c r="I390">
        <f>SALESTABLE[[#This Row],[Revenue]]-SALESTABLE[[#This Row],[COST]]</f>
        <v>2260.7999999999997</v>
      </c>
      <c r="J390">
        <f>SALESTABLE[[#This Row],[PROFIT]]/SALESTABLE[[#This Row],[Revenue]]*100</f>
        <v>42.037932316846408</v>
      </c>
    </row>
    <row r="391" spans="1:10" x14ac:dyDescent="0.35">
      <c r="A391" t="s">
        <v>523</v>
      </c>
      <c r="B391" s="4">
        <v>45530</v>
      </c>
      <c r="C391" t="s">
        <v>129</v>
      </c>
      <c r="D391" t="s">
        <v>84</v>
      </c>
      <c r="E391">
        <v>15</v>
      </c>
      <c r="F391">
        <v>5</v>
      </c>
      <c r="G391" cm="1">
        <f t="array" ref="G391">SALESTABLE[[#This Row],[Quantity]]*_xlfn.XLOOKUP(SALESTABLE[[#This Row],[Product_ID]],ProductsTable[Product_ID],ProductsTable[Unit_Price],WAASIU,0,1)</f>
        <v>4033.4999999999995</v>
      </c>
      <c r="H391" cm="1">
        <f t="array" ref="H391">SALESTABLE[[#This Row],[Quantity]]*_xlfn.XLOOKUP(SALESTABLE[[#This Row],[Product_ID]],ProductsTable[Product_ID],ProductsTable[Cost_Price],WAASIU,0,1)</f>
        <v>2337.9</v>
      </c>
      <c r="I391">
        <f>SALESTABLE[[#This Row],[Revenue]]-SALESTABLE[[#This Row],[COST]]</f>
        <v>1695.5999999999995</v>
      </c>
      <c r="J391">
        <f>SALESTABLE[[#This Row],[PROFIT]]/SALESTABLE[[#This Row],[Revenue]]*100</f>
        <v>42.037932316846408</v>
      </c>
    </row>
    <row r="392" spans="1:10" x14ac:dyDescent="0.35">
      <c r="A392" t="s">
        <v>524</v>
      </c>
      <c r="B392" s="4">
        <v>45197</v>
      </c>
      <c r="C392" t="s">
        <v>61</v>
      </c>
      <c r="D392" t="s">
        <v>44</v>
      </c>
      <c r="E392">
        <v>9</v>
      </c>
      <c r="F392">
        <v>0</v>
      </c>
      <c r="G392" cm="1">
        <f t="array" ref="G392">SALESTABLE[[#This Row],[Quantity]]*_xlfn.XLOOKUP(SALESTABLE[[#This Row],[Product_ID]],ProductsTable[Product_ID],ProductsTable[Unit_Price],WAASIU,0,1)</f>
        <v>1207.71</v>
      </c>
      <c r="H392" cm="1">
        <f t="array" ref="H392">SALESTABLE[[#This Row],[Quantity]]*_xlfn.XLOOKUP(SALESTABLE[[#This Row],[Product_ID]],ProductsTable[Product_ID],ProductsTable[Cost_Price],WAASIU,0,1)</f>
        <v>749.87999999999988</v>
      </c>
      <c r="I392">
        <f>SALESTABLE[[#This Row],[Revenue]]-SALESTABLE[[#This Row],[COST]]</f>
        <v>457.83000000000015</v>
      </c>
      <c r="J392">
        <f>SALESTABLE[[#This Row],[PROFIT]]/SALESTABLE[[#This Row],[Revenue]]*100</f>
        <v>37.908935092033694</v>
      </c>
    </row>
    <row r="393" spans="1:10" x14ac:dyDescent="0.35">
      <c r="A393" t="s">
        <v>525</v>
      </c>
      <c r="B393" s="4">
        <v>45580</v>
      </c>
      <c r="C393" t="s">
        <v>142</v>
      </c>
      <c r="D393" t="s">
        <v>8</v>
      </c>
      <c r="E393">
        <v>11</v>
      </c>
      <c r="F393">
        <v>20</v>
      </c>
      <c r="G393" cm="1">
        <f t="array" ref="G393">SALESTABLE[[#This Row],[Quantity]]*_xlfn.XLOOKUP(SALESTABLE[[#This Row],[Product_ID]],ProductsTable[Product_ID],ProductsTable[Unit_Price],WAASIU,0,1)</f>
        <v>3699.52</v>
      </c>
      <c r="H393" cm="1">
        <f t="array" ref="H393">SALESTABLE[[#This Row],[Quantity]]*_xlfn.XLOOKUP(SALESTABLE[[#This Row],[Product_ID]],ProductsTable[Product_ID],ProductsTable[Cost_Price],WAASIU,0,1)</f>
        <v>2505.58</v>
      </c>
      <c r="I393">
        <f>SALESTABLE[[#This Row],[Revenue]]-SALESTABLE[[#This Row],[COST]]</f>
        <v>1193.94</v>
      </c>
      <c r="J393">
        <f>SALESTABLE[[#This Row],[PROFIT]]/SALESTABLE[[#This Row],[Revenue]]*100</f>
        <v>32.272835394862035</v>
      </c>
    </row>
    <row r="394" spans="1:10" x14ac:dyDescent="0.35">
      <c r="A394" t="s">
        <v>526</v>
      </c>
      <c r="B394" s="4">
        <v>45039</v>
      </c>
      <c r="C394" t="s">
        <v>179</v>
      </c>
      <c r="D394" t="s">
        <v>84</v>
      </c>
      <c r="E394">
        <v>13</v>
      </c>
      <c r="F394">
        <v>10</v>
      </c>
      <c r="G394" cm="1">
        <f t="array" ref="G394">SALESTABLE[[#This Row],[Quantity]]*_xlfn.XLOOKUP(SALESTABLE[[#This Row],[Product_ID]],ProductsTable[Product_ID],ProductsTable[Unit_Price],WAASIU,0,1)</f>
        <v>3495.7</v>
      </c>
      <c r="H394" cm="1">
        <f t="array" ref="H394">SALESTABLE[[#This Row],[Quantity]]*_xlfn.XLOOKUP(SALESTABLE[[#This Row],[Product_ID]],ProductsTable[Product_ID],ProductsTable[Cost_Price],WAASIU,0,1)</f>
        <v>2026.1800000000003</v>
      </c>
      <c r="I394">
        <f>SALESTABLE[[#This Row],[Revenue]]-SALESTABLE[[#This Row],[COST]]</f>
        <v>1469.5199999999995</v>
      </c>
      <c r="J394">
        <f>SALESTABLE[[#This Row],[PROFIT]]/SALESTABLE[[#This Row],[Revenue]]*100</f>
        <v>42.037932316846401</v>
      </c>
    </row>
    <row r="395" spans="1:10" x14ac:dyDescent="0.35">
      <c r="A395" t="s">
        <v>527</v>
      </c>
      <c r="B395" s="4">
        <v>45036</v>
      </c>
      <c r="C395" t="s">
        <v>15</v>
      </c>
      <c r="D395" t="s">
        <v>97</v>
      </c>
      <c r="E395">
        <v>1</v>
      </c>
      <c r="F395">
        <v>10</v>
      </c>
      <c r="G395" cm="1">
        <f t="array" ref="G395">SALESTABLE[[#This Row],[Quantity]]*_xlfn.XLOOKUP(SALESTABLE[[#This Row],[Product_ID]],ProductsTable[Product_ID],ProductsTable[Unit_Price],WAASIU,0,1)</f>
        <v>310.20999999999998</v>
      </c>
      <c r="H395" cm="1">
        <f t="array" ref="H395">SALESTABLE[[#This Row],[Quantity]]*_xlfn.XLOOKUP(SALESTABLE[[#This Row],[Product_ID]],ProductsTable[Product_ID],ProductsTable[Cost_Price],WAASIU,0,1)</f>
        <v>225.29</v>
      </c>
      <c r="I395">
        <f>SALESTABLE[[#This Row],[Revenue]]-SALESTABLE[[#This Row],[COST]]</f>
        <v>84.919999999999987</v>
      </c>
      <c r="J395">
        <f>SALESTABLE[[#This Row],[PROFIT]]/SALESTABLE[[#This Row],[Revenue]]*100</f>
        <v>27.375004029528384</v>
      </c>
    </row>
    <row r="396" spans="1:10" x14ac:dyDescent="0.35">
      <c r="A396" t="s">
        <v>528</v>
      </c>
      <c r="B396" s="4">
        <v>45364</v>
      </c>
      <c r="C396" t="s">
        <v>318</v>
      </c>
      <c r="D396" t="s">
        <v>248</v>
      </c>
      <c r="E396">
        <v>2</v>
      </c>
      <c r="F396">
        <v>0</v>
      </c>
      <c r="G396" cm="1">
        <f t="array" ref="G396">SALESTABLE[[#This Row],[Quantity]]*_xlfn.XLOOKUP(SALESTABLE[[#This Row],[Product_ID]],ProductsTable[Product_ID],ProductsTable[Unit_Price],WAASIU,0,1)</f>
        <v>373.42</v>
      </c>
      <c r="H396" cm="1">
        <f t="array" ref="H396">SALESTABLE[[#This Row],[Quantity]]*_xlfn.XLOOKUP(SALESTABLE[[#This Row],[Product_ID]],ProductsTable[Product_ID],ProductsTable[Cost_Price],WAASIU,0,1)</f>
        <v>250.38</v>
      </c>
      <c r="I396">
        <f>SALESTABLE[[#This Row],[Revenue]]-SALESTABLE[[#This Row],[COST]]</f>
        <v>123.04000000000002</v>
      </c>
      <c r="J396">
        <f>SALESTABLE[[#This Row],[PROFIT]]/SALESTABLE[[#This Row],[Revenue]]*100</f>
        <v>32.94949386749505</v>
      </c>
    </row>
    <row r="397" spans="1:10" x14ac:dyDescent="0.35">
      <c r="A397" t="s">
        <v>529</v>
      </c>
      <c r="B397" s="4">
        <v>45092</v>
      </c>
      <c r="C397" t="s">
        <v>169</v>
      </c>
      <c r="D397" t="s">
        <v>74</v>
      </c>
      <c r="E397">
        <v>6</v>
      </c>
      <c r="F397">
        <v>20</v>
      </c>
      <c r="G397" cm="1">
        <f t="array" ref="G397">SALESTABLE[[#This Row],[Quantity]]*_xlfn.XLOOKUP(SALESTABLE[[#This Row],[Product_ID]],ProductsTable[Product_ID],ProductsTable[Unit_Price],WAASIU,0,1)</f>
        <v>258</v>
      </c>
      <c r="H397" cm="1">
        <f t="array" ref="H397">SALESTABLE[[#This Row],[Quantity]]*_xlfn.XLOOKUP(SALESTABLE[[#This Row],[Product_ID]],ProductsTable[Product_ID],ProductsTable[Cost_Price],WAASIU,0,1)</f>
        <v>180.3</v>
      </c>
      <c r="I397">
        <f>SALESTABLE[[#This Row],[Revenue]]-SALESTABLE[[#This Row],[COST]]</f>
        <v>77.699999999999989</v>
      </c>
      <c r="J397">
        <f>SALESTABLE[[#This Row],[PROFIT]]/SALESTABLE[[#This Row],[Revenue]]*100</f>
        <v>30.116279069767437</v>
      </c>
    </row>
    <row r="398" spans="1:10" x14ac:dyDescent="0.35">
      <c r="A398" t="s">
        <v>530</v>
      </c>
      <c r="B398" s="4">
        <v>45135</v>
      </c>
      <c r="C398" t="s">
        <v>159</v>
      </c>
      <c r="D398" t="s">
        <v>93</v>
      </c>
      <c r="E398">
        <v>20</v>
      </c>
      <c r="F398">
        <v>5</v>
      </c>
      <c r="G398" cm="1">
        <f t="array" ref="G398">SALESTABLE[[#This Row],[Quantity]]*_xlfn.XLOOKUP(SALESTABLE[[#This Row],[Product_ID]],ProductsTable[Product_ID],ProductsTable[Unit_Price],WAASIU,0,1)</f>
        <v>4280.6000000000004</v>
      </c>
      <c r="H398" cm="1">
        <f t="array" ref="H398">SALESTABLE[[#This Row],[Quantity]]*_xlfn.XLOOKUP(SALESTABLE[[#This Row],[Product_ID]],ProductsTable[Product_ID],ProductsTable[Cost_Price],WAASIU,0,1)</f>
        <v>3134.2000000000003</v>
      </c>
      <c r="I398">
        <f>SALESTABLE[[#This Row],[Revenue]]-SALESTABLE[[#This Row],[COST]]</f>
        <v>1146.4000000000001</v>
      </c>
      <c r="J398">
        <f>SALESTABLE[[#This Row],[PROFIT]]/SALESTABLE[[#This Row],[Revenue]]*100</f>
        <v>26.781292342195016</v>
      </c>
    </row>
    <row r="399" spans="1:10" x14ac:dyDescent="0.35">
      <c r="A399" t="s">
        <v>531</v>
      </c>
      <c r="B399" s="4">
        <v>45470</v>
      </c>
      <c r="C399" t="s">
        <v>159</v>
      </c>
      <c r="D399" t="s">
        <v>248</v>
      </c>
      <c r="E399">
        <v>2</v>
      </c>
      <c r="F399">
        <v>5</v>
      </c>
      <c r="G399" cm="1">
        <f t="array" ref="G399">SALESTABLE[[#This Row],[Quantity]]*_xlfn.XLOOKUP(SALESTABLE[[#This Row],[Product_ID]],ProductsTable[Product_ID],ProductsTable[Unit_Price],WAASIU,0,1)</f>
        <v>373.42</v>
      </c>
      <c r="H399" cm="1">
        <f t="array" ref="H399">SALESTABLE[[#This Row],[Quantity]]*_xlfn.XLOOKUP(SALESTABLE[[#This Row],[Product_ID]],ProductsTable[Product_ID],ProductsTable[Cost_Price],WAASIU,0,1)</f>
        <v>250.38</v>
      </c>
      <c r="I399">
        <f>SALESTABLE[[#This Row],[Revenue]]-SALESTABLE[[#This Row],[COST]]</f>
        <v>123.04000000000002</v>
      </c>
      <c r="J399">
        <f>SALESTABLE[[#This Row],[PROFIT]]/SALESTABLE[[#This Row],[Revenue]]*100</f>
        <v>32.94949386749505</v>
      </c>
    </row>
    <row r="400" spans="1:10" x14ac:dyDescent="0.35">
      <c r="A400" t="s">
        <v>532</v>
      </c>
      <c r="B400" s="4">
        <v>45114</v>
      </c>
      <c r="C400" t="s">
        <v>118</v>
      </c>
      <c r="D400" t="s">
        <v>57</v>
      </c>
      <c r="E400">
        <v>6</v>
      </c>
      <c r="F400">
        <v>10</v>
      </c>
      <c r="G400" cm="1">
        <f t="array" ref="G400">SALESTABLE[[#This Row],[Quantity]]*_xlfn.XLOOKUP(SALESTABLE[[#This Row],[Product_ID]],ProductsTable[Product_ID],ProductsTable[Unit_Price],WAASIU,0,1)</f>
        <v>952.98</v>
      </c>
      <c r="H400" cm="1">
        <f t="array" ref="H400">SALESTABLE[[#This Row],[Quantity]]*_xlfn.XLOOKUP(SALESTABLE[[#This Row],[Product_ID]],ProductsTable[Product_ID],ProductsTable[Cost_Price],WAASIU,0,1)</f>
        <v>761.64</v>
      </c>
      <c r="I400">
        <f>SALESTABLE[[#This Row],[Revenue]]-SALESTABLE[[#This Row],[COST]]</f>
        <v>191.34000000000003</v>
      </c>
      <c r="J400">
        <f>SALESTABLE[[#This Row],[PROFIT]]/SALESTABLE[[#This Row],[Revenue]]*100</f>
        <v>20.078070893408047</v>
      </c>
    </row>
    <row r="401" spans="1:10" x14ac:dyDescent="0.35">
      <c r="A401" t="s">
        <v>533</v>
      </c>
      <c r="B401" s="4">
        <v>45208</v>
      </c>
      <c r="C401" t="s">
        <v>15</v>
      </c>
      <c r="D401" t="s">
        <v>93</v>
      </c>
      <c r="E401">
        <v>14</v>
      </c>
      <c r="F401">
        <v>10</v>
      </c>
      <c r="G401" cm="1">
        <f t="array" ref="G401">SALESTABLE[[#This Row],[Quantity]]*_xlfn.XLOOKUP(SALESTABLE[[#This Row],[Product_ID]],ProductsTable[Product_ID],ProductsTable[Unit_Price],WAASIU,0,1)</f>
        <v>2996.42</v>
      </c>
      <c r="H401" cm="1">
        <f t="array" ref="H401">SALESTABLE[[#This Row],[Quantity]]*_xlfn.XLOOKUP(SALESTABLE[[#This Row],[Product_ID]],ProductsTable[Product_ID],ProductsTable[Cost_Price],WAASIU,0,1)</f>
        <v>2193.94</v>
      </c>
      <c r="I401">
        <f>SALESTABLE[[#This Row],[Revenue]]-SALESTABLE[[#This Row],[COST]]</f>
        <v>802.48</v>
      </c>
      <c r="J401">
        <f>SALESTABLE[[#This Row],[PROFIT]]/SALESTABLE[[#This Row],[Revenue]]*100</f>
        <v>26.781292342195016</v>
      </c>
    </row>
    <row r="402" spans="1:10" x14ac:dyDescent="0.35">
      <c r="A402" t="s">
        <v>534</v>
      </c>
      <c r="B402" s="4">
        <v>45157</v>
      </c>
      <c r="C402" t="s">
        <v>190</v>
      </c>
      <c r="D402" t="s">
        <v>248</v>
      </c>
      <c r="E402">
        <v>1</v>
      </c>
      <c r="F402">
        <v>15</v>
      </c>
      <c r="G402" cm="1">
        <f t="array" ref="G402">SALESTABLE[[#This Row],[Quantity]]*_xlfn.XLOOKUP(SALESTABLE[[#This Row],[Product_ID]],ProductsTable[Product_ID],ProductsTable[Unit_Price],WAASIU,0,1)</f>
        <v>186.71</v>
      </c>
      <c r="H402" cm="1">
        <f t="array" ref="H402">SALESTABLE[[#This Row],[Quantity]]*_xlfn.XLOOKUP(SALESTABLE[[#This Row],[Product_ID]],ProductsTable[Product_ID],ProductsTable[Cost_Price],WAASIU,0,1)</f>
        <v>125.19</v>
      </c>
      <c r="I402">
        <f>SALESTABLE[[#This Row],[Revenue]]-SALESTABLE[[#This Row],[COST]]</f>
        <v>61.52000000000001</v>
      </c>
      <c r="J402">
        <f>SALESTABLE[[#This Row],[PROFIT]]/SALESTABLE[[#This Row],[Revenue]]*100</f>
        <v>32.94949386749505</v>
      </c>
    </row>
    <row r="403" spans="1:10" x14ac:dyDescent="0.35">
      <c r="A403" t="s">
        <v>535</v>
      </c>
      <c r="B403" s="4">
        <v>45616</v>
      </c>
      <c r="C403" t="s">
        <v>169</v>
      </c>
      <c r="D403" t="s">
        <v>133</v>
      </c>
      <c r="E403">
        <v>12</v>
      </c>
      <c r="F403">
        <v>15</v>
      </c>
      <c r="G403" cm="1">
        <f t="array" ref="G403">SALESTABLE[[#This Row],[Quantity]]*_xlfn.XLOOKUP(SALESTABLE[[#This Row],[Product_ID]],ProductsTable[Product_ID],ProductsTable[Unit_Price],WAASIU,0,1)</f>
        <v>4212</v>
      </c>
      <c r="H403" cm="1">
        <f t="array" ref="H403">SALESTABLE[[#This Row],[Quantity]]*_xlfn.XLOOKUP(SALESTABLE[[#This Row],[Product_ID]],ProductsTable[Product_ID],ProductsTable[Cost_Price],WAASIU,0,1)</f>
        <v>2803.56</v>
      </c>
      <c r="I403">
        <f>SALESTABLE[[#This Row],[Revenue]]-SALESTABLE[[#This Row],[COST]]</f>
        <v>1408.44</v>
      </c>
      <c r="J403">
        <f>SALESTABLE[[#This Row],[PROFIT]]/SALESTABLE[[#This Row],[Revenue]]*100</f>
        <v>33.438746438746442</v>
      </c>
    </row>
    <row r="404" spans="1:10" x14ac:dyDescent="0.35">
      <c r="A404" t="s">
        <v>536</v>
      </c>
      <c r="B404" s="4">
        <v>45320</v>
      </c>
      <c r="C404" t="s">
        <v>165</v>
      </c>
      <c r="D404" t="s">
        <v>52</v>
      </c>
      <c r="E404">
        <v>5</v>
      </c>
      <c r="F404">
        <v>20</v>
      </c>
      <c r="G404" cm="1">
        <f t="array" ref="G404">SALESTABLE[[#This Row],[Quantity]]*_xlfn.XLOOKUP(SALESTABLE[[#This Row],[Product_ID]],ProductsTable[Product_ID],ProductsTable[Unit_Price],WAASIU,0,1)</f>
        <v>918.9</v>
      </c>
      <c r="H404" cm="1">
        <f t="array" ref="H404">SALESTABLE[[#This Row],[Quantity]]*_xlfn.XLOOKUP(SALESTABLE[[#This Row],[Product_ID]],ProductsTable[Product_ID],ProductsTable[Cost_Price],WAASIU,0,1)</f>
        <v>578.15</v>
      </c>
      <c r="I404">
        <f>SALESTABLE[[#This Row],[Revenue]]-SALESTABLE[[#This Row],[COST]]</f>
        <v>340.75</v>
      </c>
      <c r="J404">
        <f>SALESTABLE[[#This Row],[PROFIT]]/SALESTABLE[[#This Row],[Revenue]]*100</f>
        <v>37.082381107846338</v>
      </c>
    </row>
    <row r="405" spans="1:10" x14ac:dyDescent="0.35">
      <c r="A405" t="s">
        <v>537</v>
      </c>
      <c r="B405" s="4">
        <v>45618</v>
      </c>
      <c r="C405" t="s">
        <v>116</v>
      </c>
      <c r="D405" t="s">
        <v>34</v>
      </c>
      <c r="E405">
        <v>5</v>
      </c>
      <c r="F405">
        <v>0</v>
      </c>
      <c r="G405" cm="1">
        <f t="array" ref="G405">SALESTABLE[[#This Row],[Quantity]]*_xlfn.XLOOKUP(SALESTABLE[[#This Row],[Product_ID]],ProductsTable[Product_ID],ProductsTable[Unit_Price],WAASIU,0,1)</f>
        <v>1643.75</v>
      </c>
      <c r="H405" cm="1">
        <f t="array" ref="H405">SALESTABLE[[#This Row],[Quantity]]*_xlfn.XLOOKUP(SALESTABLE[[#This Row],[Product_ID]],ProductsTable[Product_ID],ProductsTable[Cost_Price],WAASIU,0,1)</f>
        <v>1165.9000000000001</v>
      </c>
      <c r="I405">
        <f>SALESTABLE[[#This Row],[Revenue]]-SALESTABLE[[#This Row],[COST]]</f>
        <v>477.84999999999991</v>
      </c>
      <c r="J405">
        <f>SALESTABLE[[#This Row],[PROFIT]]/SALESTABLE[[#This Row],[Revenue]]*100</f>
        <v>29.070722433460073</v>
      </c>
    </row>
    <row r="406" spans="1:10" x14ac:dyDescent="0.35">
      <c r="A406" t="s">
        <v>538</v>
      </c>
      <c r="B406" s="4">
        <v>45547</v>
      </c>
      <c r="C406" t="s">
        <v>392</v>
      </c>
      <c r="D406" t="s">
        <v>49</v>
      </c>
      <c r="E406">
        <v>13</v>
      </c>
      <c r="F406">
        <v>5</v>
      </c>
      <c r="G406" cm="1">
        <f t="array" ref="G406">SALESTABLE[[#This Row],[Quantity]]*_xlfn.XLOOKUP(SALESTABLE[[#This Row],[Product_ID]],ProductsTable[Product_ID],ProductsTable[Unit_Price],WAASIU,0,1)</f>
        <v>2985.19</v>
      </c>
      <c r="H406" cm="1">
        <f t="array" ref="H406">SALESTABLE[[#This Row],[Quantity]]*_xlfn.XLOOKUP(SALESTABLE[[#This Row],[Product_ID]],ProductsTable[Product_ID],ProductsTable[Cost_Price],WAASIU,0,1)</f>
        <v>1708.4599999999998</v>
      </c>
      <c r="I406">
        <f>SALESTABLE[[#This Row],[Revenue]]-SALESTABLE[[#This Row],[COST]]</f>
        <v>1276.7300000000002</v>
      </c>
      <c r="J406">
        <f>SALESTABLE[[#This Row],[PROFIT]]/SALESTABLE[[#This Row],[Revenue]]*100</f>
        <v>42.768801985803258</v>
      </c>
    </row>
    <row r="407" spans="1:10" x14ac:dyDescent="0.35">
      <c r="A407" t="s">
        <v>539</v>
      </c>
      <c r="B407" s="4">
        <v>44941</v>
      </c>
      <c r="C407" t="s">
        <v>245</v>
      </c>
      <c r="D407" t="s">
        <v>49</v>
      </c>
      <c r="E407">
        <v>11</v>
      </c>
      <c r="F407">
        <v>0</v>
      </c>
      <c r="G407" cm="1">
        <f t="array" ref="G407">SALESTABLE[[#This Row],[Quantity]]*_xlfn.XLOOKUP(SALESTABLE[[#This Row],[Product_ID]],ProductsTable[Product_ID],ProductsTable[Unit_Price],WAASIU,0,1)</f>
        <v>2525.9299999999998</v>
      </c>
      <c r="H407" cm="1">
        <f t="array" ref="H407">SALESTABLE[[#This Row],[Quantity]]*_xlfn.XLOOKUP(SALESTABLE[[#This Row],[Product_ID]],ProductsTable[Product_ID],ProductsTable[Cost_Price],WAASIU,0,1)</f>
        <v>1445.62</v>
      </c>
      <c r="I407">
        <f>SALESTABLE[[#This Row],[Revenue]]-SALESTABLE[[#This Row],[COST]]</f>
        <v>1080.31</v>
      </c>
      <c r="J407">
        <f>SALESTABLE[[#This Row],[PROFIT]]/SALESTABLE[[#This Row],[Revenue]]*100</f>
        <v>42.76880198580325</v>
      </c>
    </row>
    <row r="408" spans="1:10" x14ac:dyDescent="0.35">
      <c r="A408" t="s">
        <v>540</v>
      </c>
      <c r="B408" s="4">
        <v>45212</v>
      </c>
      <c r="C408" t="s">
        <v>167</v>
      </c>
      <c r="D408" t="s">
        <v>137</v>
      </c>
      <c r="E408">
        <v>14</v>
      </c>
      <c r="F408">
        <v>5</v>
      </c>
      <c r="G408" cm="1">
        <f t="array" ref="G408">SALESTABLE[[#This Row],[Quantity]]*_xlfn.XLOOKUP(SALESTABLE[[#This Row],[Product_ID]],ProductsTable[Product_ID],ProductsTable[Unit_Price],WAASIU,0,1)</f>
        <v>5088.16</v>
      </c>
      <c r="H408" cm="1">
        <f t="array" ref="H408">SALESTABLE[[#This Row],[Quantity]]*_xlfn.XLOOKUP(SALESTABLE[[#This Row],[Product_ID]],ProductsTable[Product_ID],ProductsTable[Cost_Price],WAASIU,0,1)</f>
        <v>3500.7000000000003</v>
      </c>
      <c r="I408">
        <f>SALESTABLE[[#This Row],[Revenue]]-SALESTABLE[[#This Row],[COST]]</f>
        <v>1587.4599999999996</v>
      </c>
      <c r="J408">
        <f>SALESTABLE[[#This Row],[PROFIT]]/SALESTABLE[[#This Row],[Revenue]]*100</f>
        <v>31.199097512656827</v>
      </c>
    </row>
    <row r="409" spans="1:10" x14ac:dyDescent="0.35">
      <c r="A409" t="s">
        <v>541</v>
      </c>
      <c r="B409" s="4">
        <v>44980</v>
      </c>
      <c r="C409" t="s">
        <v>184</v>
      </c>
      <c r="D409" t="s">
        <v>100</v>
      </c>
      <c r="E409">
        <v>10</v>
      </c>
      <c r="F409">
        <v>0</v>
      </c>
      <c r="G409" cm="1">
        <f t="array" ref="G409">SALESTABLE[[#This Row],[Quantity]]*_xlfn.XLOOKUP(SALESTABLE[[#This Row],[Product_ID]],ProductsTable[Product_ID],ProductsTable[Unit_Price],WAASIU,0,1)</f>
        <v>4093.2</v>
      </c>
      <c r="H409" cm="1">
        <f t="array" ref="H409">SALESTABLE[[#This Row],[Quantity]]*_xlfn.XLOOKUP(SALESTABLE[[#This Row],[Product_ID]],ProductsTable[Product_ID],ProductsTable[Cost_Price],WAASIU,0,1)</f>
        <v>2126.5</v>
      </c>
      <c r="I409">
        <f>SALESTABLE[[#This Row],[Revenue]]-SALESTABLE[[#This Row],[COST]]</f>
        <v>1966.6999999999998</v>
      </c>
      <c r="J409">
        <f>SALESTABLE[[#This Row],[PROFIT]]/SALESTABLE[[#This Row],[Revenue]]*100</f>
        <v>48.047982018958265</v>
      </c>
    </row>
    <row r="410" spans="1:10" x14ac:dyDescent="0.35">
      <c r="A410" t="s">
        <v>542</v>
      </c>
      <c r="B410" s="4">
        <v>45454</v>
      </c>
      <c r="C410" t="s">
        <v>142</v>
      </c>
      <c r="D410" t="s">
        <v>74</v>
      </c>
      <c r="E410">
        <v>17</v>
      </c>
      <c r="F410">
        <v>0</v>
      </c>
      <c r="G410" cm="1">
        <f t="array" ref="G410">SALESTABLE[[#This Row],[Quantity]]*_xlfn.XLOOKUP(SALESTABLE[[#This Row],[Product_ID]],ProductsTable[Product_ID],ProductsTable[Unit_Price],WAASIU,0,1)</f>
        <v>731</v>
      </c>
      <c r="H410" cm="1">
        <f t="array" ref="H410">SALESTABLE[[#This Row],[Quantity]]*_xlfn.XLOOKUP(SALESTABLE[[#This Row],[Product_ID]],ProductsTable[Product_ID],ProductsTable[Cost_Price],WAASIU,0,1)</f>
        <v>510.85</v>
      </c>
      <c r="I410">
        <f>SALESTABLE[[#This Row],[Revenue]]-SALESTABLE[[#This Row],[COST]]</f>
        <v>220.14999999999998</v>
      </c>
      <c r="J410">
        <f>SALESTABLE[[#This Row],[PROFIT]]/SALESTABLE[[#This Row],[Revenue]]*100</f>
        <v>30.116279069767437</v>
      </c>
    </row>
    <row r="411" spans="1:10" x14ac:dyDescent="0.35">
      <c r="A411" t="s">
        <v>543</v>
      </c>
      <c r="B411" s="4">
        <v>44994</v>
      </c>
      <c r="C411" t="s">
        <v>301</v>
      </c>
      <c r="D411" t="s">
        <v>22</v>
      </c>
      <c r="E411">
        <v>20</v>
      </c>
      <c r="F411">
        <v>20</v>
      </c>
      <c r="G411" cm="1">
        <f t="array" ref="G411">SALESTABLE[[#This Row],[Quantity]]*_xlfn.XLOOKUP(SALESTABLE[[#This Row],[Product_ID]],ProductsTable[Product_ID],ProductsTable[Unit_Price],WAASIU,0,1)</f>
        <v>8393.4</v>
      </c>
      <c r="H411" cm="1">
        <f t="array" ref="H411">SALESTABLE[[#This Row],[Quantity]]*_xlfn.XLOOKUP(SALESTABLE[[#This Row],[Product_ID]],ProductsTable[Product_ID],ProductsTable[Cost_Price],WAASIU,0,1)</f>
        <v>4268.3999999999996</v>
      </c>
      <c r="I411">
        <f>SALESTABLE[[#This Row],[Revenue]]-SALESTABLE[[#This Row],[COST]]</f>
        <v>4125</v>
      </c>
      <c r="J411">
        <f>SALESTABLE[[#This Row],[PROFIT]]/SALESTABLE[[#This Row],[Revenue]]*100</f>
        <v>49.145757380799196</v>
      </c>
    </row>
    <row r="412" spans="1:10" x14ac:dyDescent="0.35">
      <c r="A412" t="s">
        <v>544</v>
      </c>
      <c r="B412" s="4">
        <v>45185</v>
      </c>
      <c r="C412" t="s">
        <v>352</v>
      </c>
      <c r="D412" t="s">
        <v>125</v>
      </c>
      <c r="E412">
        <v>3</v>
      </c>
      <c r="F412">
        <v>0</v>
      </c>
      <c r="G412" cm="1">
        <f t="array" ref="G412">SALESTABLE[[#This Row],[Quantity]]*_xlfn.XLOOKUP(SALESTABLE[[#This Row],[Product_ID]],ProductsTable[Product_ID],ProductsTable[Unit_Price],WAASIU,0,1)</f>
        <v>1004.0999999999999</v>
      </c>
      <c r="H412" cm="1">
        <f t="array" ref="H412">SALESTABLE[[#This Row],[Quantity]]*_xlfn.XLOOKUP(SALESTABLE[[#This Row],[Product_ID]],ProductsTable[Product_ID],ProductsTable[Cost_Price],WAASIU,0,1)</f>
        <v>748.56000000000006</v>
      </c>
      <c r="I412">
        <f>SALESTABLE[[#This Row],[Revenue]]-SALESTABLE[[#This Row],[COST]]</f>
        <v>255.53999999999985</v>
      </c>
      <c r="J412">
        <f>SALESTABLE[[#This Row],[PROFIT]]/SALESTABLE[[#This Row],[Revenue]]*100</f>
        <v>25.44965640872422</v>
      </c>
    </row>
    <row r="413" spans="1:10" x14ac:dyDescent="0.35">
      <c r="A413" t="s">
        <v>545</v>
      </c>
      <c r="B413" s="4">
        <v>45058</v>
      </c>
      <c r="C413" t="s">
        <v>90</v>
      </c>
      <c r="D413" t="s">
        <v>16</v>
      </c>
      <c r="E413">
        <v>10</v>
      </c>
      <c r="F413">
        <v>10</v>
      </c>
      <c r="G413" cm="1">
        <f t="array" ref="G413">SALESTABLE[[#This Row],[Quantity]]*_xlfn.XLOOKUP(SALESTABLE[[#This Row],[Product_ID]],ProductsTable[Product_ID],ProductsTable[Unit_Price],WAASIU,0,1)</f>
        <v>3621.7000000000003</v>
      </c>
      <c r="H413" cm="1">
        <f t="array" ref="H413">SALESTABLE[[#This Row],[Quantity]]*_xlfn.XLOOKUP(SALESTABLE[[#This Row],[Product_ID]],ProductsTable[Product_ID],ProductsTable[Cost_Price],WAASIU,0,1)</f>
        <v>2333.8000000000002</v>
      </c>
      <c r="I413">
        <f>SALESTABLE[[#This Row],[Revenue]]-SALESTABLE[[#This Row],[COST]]</f>
        <v>1287.9000000000001</v>
      </c>
      <c r="J413">
        <f>SALESTABLE[[#This Row],[PROFIT]]/SALESTABLE[[#This Row],[Revenue]]*100</f>
        <v>35.560648314327523</v>
      </c>
    </row>
    <row r="414" spans="1:10" x14ac:dyDescent="0.35">
      <c r="A414" t="s">
        <v>546</v>
      </c>
      <c r="B414" s="4">
        <v>45170</v>
      </c>
      <c r="C414" t="s">
        <v>99</v>
      </c>
      <c r="D414" t="s">
        <v>107</v>
      </c>
      <c r="E414">
        <v>15</v>
      </c>
      <c r="F414">
        <v>0</v>
      </c>
      <c r="G414" cm="1">
        <f t="array" ref="G414">SALESTABLE[[#This Row],[Quantity]]*_xlfn.XLOOKUP(SALESTABLE[[#This Row],[Product_ID]],ProductsTable[Product_ID],ProductsTable[Unit_Price],WAASIU,0,1)</f>
        <v>975.15000000000009</v>
      </c>
      <c r="H414" cm="1">
        <f t="array" ref="H414">SALESTABLE[[#This Row],[Quantity]]*_xlfn.XLOOKUP(SALESTABLE[[#This Row],[Product_ID]],ProductsTable[Product_ID],ProductsTable[Cost_Price],WAASIU,0,1)</f>
        <v>552.44999999999993</v>
      </c>
      <c r="I414">
        <f>SALESTABLE[[#This Row],[Revenue]]-SALESTABLE[[#This Row],[COST]]</f>
        <v>422.70000000000016</v>
      </c>
      <c r="J414">
        <f>SALESTABLE[[#This Row],[PROFIT]]/SALESTABLE[[#This Row],[Revenue]]*100</f>
        <v>43.347177357329656</v>
      </c>
    </row>
    <row r="415" spans="1:10" x14ac:dyDescent="0.35">
      <c r="A415" t="s">
        <v>547</v>
      </c>
      <c r="B415" s="4">
        <v>45072</v>
      </c>
      <c r="C415" t="s">
        <v>36</v>
      </c>
      <c r="D415" t="s">
        <v>248</v>
      </c>
      <c r="E415">
        <v>20</v>
      </c>
      <c r="F415">
        <v>20</v>
      </c>
      <c r="G415" cm="1">
        <f t="array" ref="G415">SALESTABLE[[#This Row],[Quantity]]*_xlfn.XLOOKUP(SALESTABLE[[#This Row],[Product_ID]],ProductsTable[Product_ID],ProductsTable[Unit_Price],WAASIU,0,1)</f>
        <v>3734.2000000000003</v>
      </c>
      <c r="H415" cm="1">
        <f t="array" ref="H415">SALESTABLE[[#This Row],[Quantity]]*_xlfn.XLOOKUP(SALESTABLE[[#This Row],[Product_ID]],ProductsTable[Product_ID],ProductsTable[Cost_Price],WAASIU,0,1)</f>
        <v>2503.8000000000002</v>
      </c>
      <c r="I415">
        <f>SALESTABLE[[#This Row],[Revenue]]-SALESTABLE[[#This Row],[COST]]</f>
        <v>1230.4000000000001</v>
      </c>
      <c r="J415">
        <f>SALESTABLE[[#This Row],[PROFIT]]/SALESTABLE[[#This Row],[Revenue]]*100</f>
        <v>32.949493867495043</v>
      </c>
    </row>
    <row r="416" spans="1:10" x14ac:dyDescent="0.35">
      <c r="A416" t="s">
        <v>548</v>
      </c>
      <c r="B416" s="4">
        <v>45166</v>
      </c>
      <c r="C416" t="s">
        <v>265</v>
      </c>
      <c r="D416" t="s">
        <v>19</v>
      </c>
      <c r="E416">
        <v>3</v>
      </c>
      <c r="F416">
        <v>5</v>
      </c>
      <c r="G416" cm="1">
        <f t="array" ref="G416">SALESTABLE[[#This Row],[Quantity]]*_xlfn.XLOOKUP(SALESTABLE[[#This Row],[Product_ID]],ProductsTable[Product_ID],ProductsTable[Unit_Price],WAASIU,0,1)</f>
        <v>182.28</v>
      </c>
      <c r="H416" cm="1">
        <f t="array" ref="H416">SALESTABLE[[#This Row],[Quantity]]*_xlfn.XLOOKUP(SALESTABLE[[#This Row],[Product_ID]],ProductsTable[Product_ID],ProductsTable[Cost_Price],WAASIU,0,1)</f>
        <v>121.35000000000001</v>
      </c>
      <c r="I416">
        <f>SALESTABLE[[#This Row],[Revenue]]-SALESTABLE[[#This Row],[COST]]</f>
        <v>60.929999999999993</v>
      </c>
      <c r="J416">
        <f>SALESTABLE[[#This Row],[PROFIT]]/SALESTABLE[[#This Row],[Revenue]]*100</f>
        <v>33.426596445029624</v>
      </c>
    </row>
    <row r="417" spans="1:10" x14ac:dyDescent="0.35">
      <c r="A417" t="s">
        <v>549</v>
      </c>
      <c r="B417" s="4">
        <v>45618</v>
      </c>
      <c r="C417" t="s">
        <v>190</v>
      </c>
      <c r="D417" t="s">
        <v>113</v>
      </c>
      <c r="E417">
        <v>5</v>
      </c>
      <c r="F417">
        <v>0</v>
      </c>
      <c r="G417" cm="1">
        <f t="array" ref="G417">SALESTABLE[[#This Row],[Quantity]]*_xlfn.XLOOKUP(SALESTABLE[[#This Row],[Product_ID]],ProductsTable[Product_ID],ProductsTable[Unit_Price],WAASIU,0,1)</f>
        <v>1685.4499999999998</v>
      </c>
      <c r="H417" cm="1">
        <f t="array" ref="H417">SALESTABLE[[#This Row],[Quantity]]*_xlfn.XLOOKUP(SALESTABLE[[#This Row],[Product_ID]],ProductsTable[Product_ID],ProductsTable[Cost_Price],WAASIU,0,1)</f>
        <v>932.05</v>
      </c>
      <c r="I417">
        <f>SALESTABLE[[#This Row],[Revenue]]-SALESTABLE[[#This Row],[COST]]</f>
        <v>753.39999999999986</v>
      </c>
      <c r="J417">
        <f>SALESTABLE[[#This Row],[PROFIT]]/SALESTABLE[[#This Row],[Revenue]]*100</f>
        <v>44.700228425643004</v>
      </c>
    </row>
    <row r="418" spans="1:10" x14ac:dyDescent="0.35">
      <c r="A418" t="s">
        <v>550</v>
      </c>
      <c r="B418" s="4">
        <v>45288</v>
      </c>
      <c r="C418" t="s">
        <v>51</v>
      </c>
      <c r="D418" t="s">
        <v>34</v>
      </c>
      <c r="E418">
        <v>11</v>
      </c>
      <c r="F418">
        <v>5</v>
      </c>
      <c r="G418" cm="1">
        <f t="array" ref="G418">SALESTABLE[[#This Row],[Quantity]]*_xlfn.XLOOKUP(SALESTABLE[[#This Row],[Product_ID]],ProductsTable[Product_ID],ProductsTable[Unit_Price],WAASIU,0,1)</f>
        <v>3616.25</v>
      </c>
      <c r="H418" cm="1">
        <f t="array" ref="H418">SALESTABLE[[#This Row],[Quantity]]*_xlfn.XLOOKUP(SALESTABLE[[#This Row],[Product_ID]],ProductsTable[Product_ID],ProductsTable[Cost_Price],WAASIU,0,1)</f>
        <v>2564.98</v>
      </c>
      <c r="I418">
        <f>SALESTABLE[[#This Row],[Revenue]]-SALESTABLE[[#This Row],[COST]]</f>
        <v>1051.27</v>
      </c>
      <c r="J418">
        <f>SALESTABLE[[#This Row],[PROFIT]]/SALESTABLE[[#This Row],[Revenue]]*100</f>
        <v>29.070722433460077</v>
      </c>
    </row>
    <row r="419" spans="1:10" x14ac:dyDescent="0.35">
      <c r="A419" t="s">
        <v>551</v>
      </c>
      <c r="B419" s="4">
        <v>45074</v>
      </c>
      <c r="C419" t="s">
        <v>83</v>
      </c>
      <c r="D419" t="s">
        <v>127</v>
      </c>
      <c r="E419">
        <v>10</v>
      </c>
      <c r="F419">
        <v>10</v>
      </c>
      <c r="G419" cm="1">
        <f t="array" ref="G419">SALESTABLE[[#This Row],[Quantity]]*_xlfn.XLOOKUP(SALESTABLE[[#This Row],[Product_ID]],ProductsTable[Product_ID],ProductsTable[Unit_Price],WAASIU,0,1)</f>
        <v>920.69999999999993</v>
      </c>
      <c r="H419" cm="1">
        <f t="array" ref="H419">SALESTABLE[[#This Row],[Quantity]]*_xlfn.XLOOKUP(SALESTABLE[[#This Row],[Product_ID]],ProductsTable[Product_ID],ProductsTable[Cost_Price],WAASIU,0,1)</f>
        <v>563.6</v>
      </c>
      <c r="I419">
        <f>SALESTABLE[[#This Row],[Revenue]]-SALESTABLE[[#This Row],[COST]]</f>
        <v>357.09999999999991</v>
      </c>
      <c r="J419">
        <f>SALESTABLE[[#This Row],[PROFIT]]/SALESTABLE[[#This Row],[Revenue]]*100</f>
        <v>38.785706527642006</v>
      </c>
    </row>
    <row r="420" spans="1:10" x14ac:dyDescent="0.35">
      <c r="A420" t="s">
        <v>552</v>
      </c>
      <c r="B420" s="4">
        <v>45650</v>
      </c>
      <c r="C420" t="s">
        <v>88</v>
      </c>
      <c r="D420" t="s">
        <v>74</v>
      </c>
      <c r="E420">
        <v>13</v>
      </c>
      <c r="F420">
        <v>20</v>
      </c>
      <c r="G420" cm="1">
        <f t="array" ref="G420">SALESTABLE[[#This Row],[Quantity]]*_xlfn.XLOOKUP(SALESTABLE[[#This Row],[Product_ID]],ProductsTable[Product_ID],ProductsTable[Unit_Price],WAASIU,0,1)</f>
        <v>559</v>
      </c>
      <c r="H420" cm="1">
        <f t="array" ref="H420">SALESTABLE[[#This Row],[Quantity]]*_xlfn.XLOOKUP(SALESTABLE[[#This Row],[Product_ID]],ProductsTable[Product_ID],ProductsTable[Cost_Price],WAASIU,0,1)</f>
        <v>390.65000000000003</v>
      </c>
      <c r="I420">
        <f>SALESTABLE[[#This Row],[Revenue]]-SALESTABLE[[#This Row],[COST]]</f>
        <v>168.34999999999997</v>
      </c>
      <c r="J420">
        <f>SALESTABLE[[#This Row],[PROFIT]]/SALESTABLE[[#This Row],[Revenue]]*100</f>
        <v>30.116279069767437</v>
      </c>
    </row>
    <row r="421" spans="1:10" x14ac:dyDescent="0.35">
      <c r="A421" t="s">
        <v>553</v>
      </c>
      <c r="B421" s="4">
        <v>44972</v>
      </c>
      <c r="C421" t="s">
        <v>73</v>
      </c>
      <c r="D421" t="s">
        <v>97</v>
      </c>
      <c r="E421">
        <v>13</v>
      </c>
      <c r="F421">
        <v>15</v>
      </c>
      <c r="G421" cm="1">
        <f t="array" ref="G421">SALESTABLE[[#This Row],[Quantity]]*_xlfn.XLOOKUP(SALESTABLE[[#This Row],[Product_ID]],ProductsTable[Product_ID],ProductsTable[Unit_Price],WAASIU,0,1)</f>
        <v>4032.7299999999996</v>
      </c>
      <c r="H421" cm="1">
        <f t="array" ref="H421">SALESTABLE[[#This Row],[Quantity]]*_xlfn.XLOOKUP(SALESTABLE[[#This Row],[Product_ID]],ProductsTable[Product_ID],ProductsTable[Cost_Price],WAASIU,0,1)</f>
        <v>2928.77</v>
      </c>
      <c r="I421">
        <f>SALESTABLE[[#This Row],[Revenue]]-SALESTABLE[[#This Row],[COST]]</f>
        <v>1103.9599999999996</v>
      </c>
      <c r="J421">
        <f>SALESTABLE[[#This Row],[PROFIT]]/SALESTABLE[[#This Row],[Revenue]]*100</f>
        <v>27.375004029528377</v>
      </c>
    </row>
    <row r="422" spans="1:10" x14ac:dyDescent="0.35">
      <c r="A422" t="s">
        <v>554</v>
      </c>
      <c r="B422" s="4">
        <v>45629</v>
      </c>
      <c r="C422" t="s">
        <v>71</v>
      </c>
      <c r="D422" t="s">
        <v>16</v>
      </c>
      <c r="E422">
        <v>10</v>
      </c>
      <c r="F422">
        <v>5</v>
      </c>
      <c r="G422" cm="1">
        <f t="array" ref="G422">SALESTABLE[[#This Row],[Quantity]]*_xlfn.XLOOKUP(SALESTABLE[[#This Row],[Product_ID]],ProductsTable[Product_ID],ProductsTable[Unit_Price],WAASIU,0,1)</f>
        <v>3621.7000000000003</v>
      </c>
      <c r="H422" cm="1">
        <f t="array" ref="H422">SALESTABLE[[#This Row],[Quantity]]*_xlfn.XLOOKUP(SALESTABLE[[#This Row],[Product_ID]],ProductsTable[Product_ID],ProductsTable[Cost_Price],WAASIU,0,1)</f>
        <v>2333.8000000000002</v>
      </c>
      <c r="I422">
        <f>SALESTABLE[[#This Row],[Revenue]]-SALESTABLE[[#This Row],[COST]]</f>
        <v>1287.9000000000001</v>
      </c>
      <c r="J422">
        <f>SALESTABLE[[#This Row],[PROFIT]]/SALESTABLE[[#This Row],[Revenue]]*100</f>
        <v>35.560648314327523</v>
      </c>
    </row>
    <row r="423" spans="1:10" x14ac:dyDescent="0.35">
      <c r="A423" t="s">
        <v>555</v>
      </c>
      <c r="B423" s="4">
        <v>45176</v>
      </c>
      <c r="C423" t="s">
        <v>30</v>
      </c>
      <c r="D423" t="s">
        <v>107</v>
      </c>
      <c r="E423">
        <v>9</v>
      </c>
      <c r="F423">
        <v>5</v>
      </c>
      <c r="G423" cm="1">
        <f t="array" ref="G423">SALESTABLE[[#This Row],[Quantity]]*_xlfn.XLOOKUP(SALESTABLE[[#This Row],[Product_ID]],ProductsTable[Product_ID],ProductsTable[Unit_Price],WAASIU,0,1)</f>
        <v>585.09</v>
      </c>
      <c r="H423" cm="1">
        <f t="array" ref="H423">SALESTABLE[[#This Row],[Quantity]]*_xlfn.XLOOKUP(SALESTABLE[[#This Row],[Product_ID]],ProductsTable[Product_ID],ProductsTable[Cost_Price],WAASIU,0,1)</f>
        <v>331.46999999999997</v>
      </c>
      <c r="I423">
        <f>SALESTABLE[[#This Row],[Revenue]]-SALESTABLE[[#This Row],[COST]]</f>
        <v>253.62000000000006</v>
      </c>
      <c r="J423">
        <f>SALESTABLE[[#This Row],[PROFIT]]/SALESTABLE[[#This Row],[Revenue]]*100</f>
        <v>43.347177357329649</v>
      </c>
    </row>
    <row r="424" spans="1:10" x14ac:dyDescent="0.35">
      <c r="A424" t="s">
        <v>556</v>
      </c>
      <c r="B424" s="4">
        <v>45257</v>
      </c>
      <c r="C424" t="s">
        <v>61</v>
      </c>
      <c r="D424" t="s">
        <v>74</v>
      </c>
      <c r="E424">
        <v>5</v>
      </c>
      <c r="F424">
        <v>5</v>
      </c>
      <c r="G424" cm="1">
        <f t="array" ref="G424">SALESTABLE[[#This Row],[Quantity]]*_xlfn.XLOOKUP(SALESTABLE[[#This Row],[Product_ID]],ProductsTable[Product_ID],ProductsTable[Unit_Price],WAASIU,0,1)</f>
        <v>215</v>
      </c>
      <c r="H424" cm="1">
        <f t="array" ref="H424">SALESTABLE[[#This Row],[Quantity]]*_xlfn.XLOOKUP(SALESTABLE[[#This Row],[Product_ID]],ProductsTable[Product_ID],ProductsTable[Cost_Price],WAASIU,0,1)</f>
        <v>150.25</v>
      </c>
      <c r="I424">
        <f>SALESTABLE[[#This Row],[Revenue]]-SALESTABLE[[#This Row],[COST]]</f>
        <v>64.75</v>
      </c>
      <c r="J424">
        <f>SALESTABLE[[#This Row],[PROFIT]]/SALESTABLE[[#This Row],[Revenue]]*100</f>
        <v>30.116279069767444</v>
      </c>
    </row>
    <row r="425" spans="1:10" x14ac:dyDescent="0.35">
      <c r="A425" t="s">
        <v>557</v>
      </c>
      <c r="B425" s="4">
        <v>45194</v>
      </c>
      <c r="C425" t="s">
        <v>24</v>
      </c>
      <c r="D425" t="s">
        <v>19</v>
      </c>
      <c r="E425">
        <v>10</v>
      </c>
      <c r="F425">
        <v>5</v>
      </c>
      <c r="G425" cm="1">
        <f t="array" ref="G425">SALESTABLE[[#This Row],[Quantity]]*_xlfn.XLOOKUP(SALESTABLE[[#This Row],[Product_ID]],ProductsTable[Product_ID],ProductsTable[Unit_Price],WAASIU,0,1)</f>
        <v>607.6</v>
      </c>
      <c r="H425" cm="1">
        <f t="array" ref="H425">SALESTABLE[[#This Row],[Quantity]]*_xlfn.XLOOKUP(SALESTABLE[[#This Row],[Product_ID]],ProductsTable[Product_ID],ProductsTable[Cost_Price],WAASIU,0,1)</f>
        <v>404.5</v>
      </c>
      <c r="I425">
        <f>SALESTABLE[[#This Row],[Revenue]]-SALESTABLE[[#This Row],[COST]]</f>
        <v>203.10000000000002</v>
      </c>
      <c r="J425">
        <f>SALESTABLE[[#This Row],[PROFIT]]/SALESTABLE[[#This Row],[Revenue]]*100</f>
        <v>33.426596445029624</v>
      </c>
    </row>
    <row r="426" spans="1:10" x14ac:dyDescent="0.35">
      <c r="A426" t="s">
        <v>558</v>
      </c>
      <c r="B426" s="4">
        <v>45308</v>
      </c>
      <c r="C426" t="s">
        <v>177</v>
      </c>
      <c r="D426" t="s">
        <v>34</v>
      </c>
      <c r="E426">
        <v>13</v>
      </c>
      <c r="F426">
        <v>5</v>
      </c>
      <c r="G426" cm="1">
        <f t="array" ref="G426">SALESTABLE[[#This Row],[Quantity]]*_xlfn.XLOOKUP(SALESTABLE[[#This Row],[Product_ID]],ProductsTable[Product_ID],ProductsTable[Unit_Price],WAASIU,0,1)</f>
        <v>4273.75</v>
      </c>
      <c r="H426" cm="1">
        <f t="array" ref="H426">SALESTABLE[[#This Row],[Quantity]]*_xlfn.XLOOKUP(SALESTABLE[[#This Row],[Product_ID]],ProductsTable[Product_ID],ProductsTable[Cost_Price],WAASIU,0,1)</f>
        <v>3031.34</v>
      </c>
      <c r="I426">
        <f>SALESTABLE[[#This Row],[Revenue]]-SALESTABLE[[#This Row],[COST]]</f>
        <v>1242.4099999999999</v>
      </c>
      <c r="J426">
        <f>SALESTABLE[[#This Row],[PROFIT]]/SALESTABLE[[#This Row],[Revenue]]*100</f>
        <v>29.070722433460073</v>
      </c>
    </row>
    <row r="427" spans="1:10" x14ac:dyDescent="0.35">
      <c r="A427" t="s">
        <v>559</v>
      </c>
      <c r="B427" s="4">
        <v>45570</v>
      </c>
      <c r="C427" t="s">
        <v>65</v>
      </c>
      <c r="D427" t="s">
        <v>93</v>
      </c>
      <c r="E427">
        <v>13</v>
      </c>
      <c r="F427">
        <v>20</v>
      </c>
      <c r="G427" cm="1">
        <f t="array" ref="G427">SALESTABLE[[#This Row],[Quantity]]*_xlfn.XLOOKUP(SALESTABLE[[#This Row],[Product_ID]],ProductsTable[Product_ID],ProductsTable[Unit_Price],WAASIU,0,1)</f>
        <v>2782.39</v>
      </c>
      <c r="H427" cm="1">
        <f t="array" ref="H427">SALESTABLE[[#This Row],[Quantity]]*_xlfn.XLOOKUP(SALESTABLE[[#This Row],[Product_ID]],ProductsTable[Product_ID],ProductsTable[Cost_Price],WAASIU,0,1)</f>
        <v>2037.23</v>
      </c>
      <c r="I427">
        <f>SALESTABLE[[#This Row],[Revenue]]-SALESTABLE[[#This Row],[COST]]</f>
        <v>745.15999999999985</v>
      </c>
      <c r="J427">
        <f>SALESTABLE[[#This Row],[PROFIT]]/SALESTABLE[[#This Row],[Revenue]]*100</f>
        <v>26.781292342195016</v>
      </c>
    </row>
    <row r="428" spans="1:10" x14ac:dyDescent="0.35">
      <c r="A428" t="s">
        <v>560</v>
      </c>
      <c r="B428" s="4">
        <v>44979</v>
      </c>
      <c r="C428" t="s">
        <v>73</v>
      </c>
      <c r="D428" t="s">
        <v>133</v>
      </c>
      <c r="E428">
        <v>3</v>
      </c>
      <c r="F428">
        <v>0</v>
      </c>
      <c r="G428" cm="1">
        <f t="array" ref="G428">SALESTABLE[[#This Row],[Quantity]]*_xlfn.XLOOKUP(SALESTABLE[[#This Row],[Product_ID]],ProductsTable[Product_ID],ProductsTable[Unit_Price],WAASIU,0,1)</f>
        <v>1053</v>
      </c>
      <c r="H428" cm="1">
        <f t="array" ref="H428">SALESTABLE[[#This Row],[Quantity]]*_xlfn.XLOOKUP(SALESTABLE[[#This Row],[Product_ID]],ProductsTable[Product_ID],ProductsTable[Cost_Price],WAASIU,0,1)</f>
        <v>700.89</v>
      </c>
      <c r="I428">
        <f>SALESTABLE[[#This Row],[Revenue]]-SALESTABLE[[#This Row],[COST]]</f>
        <v>352.11</v>
      </c>
      <c r="J428">
        <f>SALESTABLE[[#This Row],[PROFIT]]/SALESTABLE[[#This Row],[Revenue]]*100</f>
        <v>33.438746438746442</v>
      </c>
    </row>
    <row r="429" spans="1:10" x14ac:dyDescent="0.35">
      <c r="A429" t="s">
        <v>561</v>
      </c>
      <c r="B429" s="4">
        <v>44989</v>
      </c>
      <c r="C429" t="s">
        <v>289</v>
      </c>
      <c r="D429" t="s">
        <v>77</v>
      </c>
      <c r="E429">
        <v>6</v>
      </c>
      <c r="F429">
        <v>15</v>
      </c>
      <c r="G429" cm="1">
        <f t="array" ref="G429">SALESTABLE[[#This Row],[Quantity]]*_xlfn.XLOOKUP(SALESTABLE[[#This Row],[Product_ID]],ProductsTable[Product_ID],ProductsTable[Unit_Price],WAASIU,0,1)</f>
        <v>550.79999999999995</v>
      </c>
      <c r="H429" cm="1">
        <f t="array" ref="H429">SALESTABLE[[#This Row],[Quantity]]*_xlfn.XLOOKUP(SALESTABLE[[#This Row],[Product_ID]],ProductsTable[Product_ID],ProductsTable[Cost_Price],WAASIU,0,1)</f>
        <v>293.82</v>
      </c>
      <c r="I429">
        <f>SALESTABLE[[#This Row],[Revenue]]-SALESTABLE[[#This Row],[COST]]</f>
        <v>256.97999999999996</v>
      </c>
      <c r="J429">
        <f>SALESTABLE[[#This Row],[PROFIT]]/SALESTABLE[[#This Row],[Revenue]]*100</f>
        <v>46.655773420479299</v>
      </c>
    </row>
    <row r="430" spans="1:10" x14ac:dyDescent="0.35">
      <c r="A430" t="s">
        <v>562</v>
      </c>
      <c r="B430" s="4">
        <v>45354</v>
      </c>
      <c r="C430" t="s">
        <v>392</v>
      </c>
      <c r="D430" t="s">
        <v>93</v>
      </c>
      <c r="E430">
        <v>12</v>
      </c>
      <c r="F430">
        <v>10</v>
      </c>
      <c r="G430" cm="1">
        <f t="array" ref="G430">SALESTABLE[[#This Row],[Quantity]]*_xlfn.XLOOKUP(SALESTABLE[[#This Row],[Product_ID]],ProductsTable[Product_ID],ProductsTable[Unit_Price],WAASIU,0,1)</f>
        <v>2568.36</v>
      </c>
      <c r="H430" cm="1">
        <f t="array" ref="H430">SALESTABLE[[#This Row],[Quantity]]*_xlfn.XLOOKUP(SALESTABLE[[#This Row],[Product_ID]],ProductsTable[Product_ID],ProductsTable[Cost_Price],WAASIU,0,1)</f>
        <v>1880.52</v>
      </c>
      <c r="I430">
        <f>SALESTABLE[[#This Row],[Revenue]]-SALESTABLE[[#This Row],[COST]]</f>
        <v>687.84000000000015</v>
      </c>
      <c r="J430">
        <f>SALESTABLE[[#This Row],[PROFIT]]/SALESTABLE[[#This Row],[Revenue]]*100</f>
        <v>26.781292342195023</v>
      </c>
    </row>
    <row r="431" spans="1:10" x14ac:dyDescent="0.35">
      <c r="A431" t="s">
        <v>563</v>
      </c>
      <c r="B431" s="4">
        <v>45580</v>
      </c>
      <c r="C431" t="s">
        <v>159</v>
      </c>
      <c r="D431" t="s">
        <v>28</v>
      </c>
      <c r="E431">
        <v>6</v>
      </c>
      <c r="F431">
        <v>20</v>
      </c>
      <c r="G431" cm="1">
        <f t="array" ref="G431">SALESTABLE[[#This Row],[Quantity]]*_xlfn.XLOOKUP(SALESTABLE[[#This Row],[Product_ID]],ProductsTable[Product_ID],ProductsTable[Unit_Price],WAASIU,0,1)</f>
        <v>2552.88</v>
      </c>
      <c r="H431" cm="1">
        <f t="array" ref="H431">SALESTABLE[[#This Row],[Quantity]]*_xlfn.XLOOKUP(SALESTABLE[[#This Row],[Product_ID]],ProductsTable[Product_ID],ProductsTable[Cost_Price],WAASIU,0,1)</f>
        <v>1400.8799999999999</v>
      </c>
      <c r="I431">
        <f>SALESTABLE[[#This Row],[Revenue]]-SALESTABLE[[#This Row],[COST]]</f>
        <v>1152.0000000000002</v>
      </c>
      <c r="J431">
        <f>SALESTABLE[[#This Row],[PROFIT]]/SALESTABLE[[#This Row],[Revenue]]*100</f>
        <v>45.125505311648027</v>
      </c>
    </row>
    <row r="432" spans="1:10" x14ac:dyDescent="0.35">
      <c r="A432" t="s">
        <v>564</v>
      </c>
      <c r="B432" s="4">
        <v>45037</v>
      </c>
      <c r="C432" t="s">
        <v>430</v>
      </c>
      <c r="D432" t="s">
        <v>137</v>
      </c>
      <c r="E432">
        <v>6</v>
      </c>
      <c r="F432">
        <v>15</v>
      </c>
      <c r="G432" cm="1">
        <f t="array" ref="G432">SALESTABLE[[#This Row],[Quantity]]*_xlfn.XLOOKUP(SALESTABLE[[#This Row],[Product_ID]],ProductsTable[Product_ID],ProductsTable[Unit_Price],WAASIU,0,1)</f>
        <v>2180.64</v>
      </c>
      <c r="H432" cm="1">
        <f t="array" ref="H432">SALESTABLE[[#This Row],[Quantity]]*_xlfn.XLOOKUP(SALESTABLE[[#This Row],[Product_ID]],ProductsTable[Product_ID],ProductsTable[Cost_Price],WAASIU,0,1)</f>
        <v>1500.3000000000002</v>
      </c>
      <c r="I432">
        <f>SALESTABLE[[#This Row],[Revenue]]-SALESTABLE[[#This Row],[COST]]</f>
        <v>680.33999999999969</v>
      </c>
      <c r="J432">
        <f>SALESTABLE[[#This Row],[PROFIT]]/SALESTABLE[[#This Row],[Revenue]]*100</f>
        <v>31.19909751265682</v>
      </c>
    </row>
    <row r="433" spans="1:10" x14ac:dyDescent="0.35">
      <c r="A433" t="s">
        <v>565</v>
      </c>
      <c r="B433" s="4">
        <v>45143</v>
      </c>
      <c r="C433" t="s">
        <v>415</v>
      </c>
      <c r="D433" t="s">
        <v>11</v>
      </c>
      <c r="E433">
        <v>17</v>
      </c>
      <c r="F433">
        <v>15</v>
      </c>
      <c r="G433" cm="1">
        <f t="array" ref="G433">SALESTABLE[[#This Row],[Quantity]]*_xlfn.XLOOKUP(SALESTABLE[[#This Row],[Product_ID]],ProductsTable[Product_ID],ProductsTable[Unit_Price],WAASIU,0,1)</f>
        <v>8113.59</v>
      </c>
      <c r="H433" cm="1">
        <f t="array" ref="H433">SALESTABLE[[#This Row],[Quantity]]*_xlfn.XLOOKUP(SALESTABLE[[#This Row],[Product_ID]],ProductsTable[Product_ID],ProductsTable[Cost_Price],WAASIU,0,1)</f>
        <v>5080.28</v>
      </c>
      <c r="I433">
        <f>SALESTABLE[[#This Row],[Revenue]]-SALESTABLE[[#This Row],[COST]]</f>
        <v>3033.3100000000004</v>
      </c>
      <c r="J433">
        <f>SALESTABLE[[#This Row],[PROFIT]]/SALESTABLE[[#This Row],[Revenue]]*100</f>
        <v>37.385546965030279</v>
      </c>
    </row>
    <row r="434" spans="1:10" x14ac:dyDescent="0.35">
      <c r="A434" t="s">
        <v>566</v>
      </c>
      <c r="B434" s="4">
        <v>44999</v>
      </c>
      <c r="C434" t="s">
        <v>184</v>
      </c>
      <c r="D434" t="s">
        <v>93</v>
      </c>
      <c r="E434">
        <v>16</v>
      </c>
      <c r="F434">
        <v>10</v>
      </c>
      <c r="G434" cm="1">
        <f t="array" ref="G434">SALESTABLE[[#This Row],[Quantity]]*_xlfn.XLOOKUP(SALESTABLE[[#This Row],[Product_ID]],ProductsTable[Product_ID],ProductsTable[Unit_Price],WAASIU,0,1)</f>
        <v>3424.48</v>
      </c>
      <c r="H434" cm="1">
        <f t="array" ref="H434">SALESTABLE[[#This Row],[Quantity]]*_xlfn.XLOOKUP(SALESTABLE[[#This Row],[Product_ID]],ProductsTable[Product_ID],ProductsTable[Cost_Price],WAASIU,0,1)</f>
        <v>2507.36</v>
      </c>
      <c r="I434">
        <f>SALESTABLE[[#This Row],[Revenue]]-SALESTABLE[[#This Row],[COST]]</f>
        <v>917.11999999999989</v>
      </c>
      <c r="J434">
        <f>SALESTABLE[[#This Row],[PROFIT]]/SALESTABLE[[#This Row],[Revenue]]*100</f>
        <v>26.781292342195016</v>
      </c>
    </row>
    <row r="435" spans="1:10" x14ac:dyDescent="0.35">
      <c r="A435" t="s">
        <v>567</v>
      </c>
      <c r="B435" s="4">
        <v>45082</v>
      </c>
      <c r="C435" t="s">
        <v>33</v>
      </c>
      <c r="D435" t="s">
        <v>44</v>
      </c>
      <c r="E435">
        <v>3</v>
      </c>
      <c r="F435">
        <v>10</v>
      </c>
      <c r="G435" cm="1">
        <f t="array" ref="G435">SALESTABLE[[#This Row],[Quantity]]*_xlfn.XLOOKUP(SALESTABLE[[#This Row],[Product_ID]],ProductsTable[Product_ID],ProductsTable[Unit_Price],WAASIU,0,1)</f>
        <v>402.57</v>
      </c>
      <c r="H435" cm="1">
        <f t="array" ref="H435">SALESTABLE[[#This Row],[Quantity]]*_xlfn.XLOOKUP(SALESTABLE[[#This Row],[Product_ID]],ProductsTable[Product_ID],ProductsTable[Cost_Price],WAASIU,0,1)</f>
        <v>249.95999999999998</v>
      </c>
      <c r="I435">
        <f>SALESTABLE[[#This Row],[Revenue]]-SALESTABLE[[#This Row],[COST]]</f>
        <v>152.61000000000001</v>
      </c>
      <c r="J435">
        <f>SALESTABLE[[#This Row],[PROFIT]]/SALESTABLE[[#This Row],[Revenue]]*100</f>
        <v>37.908935092033687</v>
      </c>
    </row>
    <row r="436" spans="1:10" x14ac:dyDescent="0.35">
      <c r="A436" t="s">
        <v>568</v>
      </c>
      <c r="B436" s="4">
        <v>45563</v>
      </c>
      <c r="C436" t="s">
        <v>430</v>
      </c>
      <c r="D436" t="s">
        <v>77</v>
      </c>
      <c r="E436">
        <v>1</v>
      </c>
      <c r="F436">
        <v>20</v>
      </c>
      <c r="G436" cm="1">
        <f t="array" ref="G436">SALESTABLE[[#This Row],[Quantity]]*_xlfn.XLOOKUP(SALESTABLE[[#This Row],[Product_ID]],ProductsTable[Product_ID],ProductsTable[Unit_Price],WAASIU,0,1)</f>
        <v>91.8</v>
      </c>
      <c r="H436" cm="1">
        <f t="array" ref="H436">SALESTABLE[[#This Row],[Quantity]]*_xlfn.XLOOKUP(SALESTABLE[[#This Row],[Product_ID]],ProductsTable[Product_ID],ProductsTable[Cost_Price],WAASIU,0,1)</f>
        <v>48.97</v>
      </c>
      <c r="I436">
        <f>SALESTABLE[[#This Row],[Revenue]]-SALESTABLE[[#This Row],[COST]]</f>
        <v>42.83</v>
      </c>
      <c r="J436">
        <f>SALESTABLE[[#This Row],[PROFIT]]/SALESTABLE[[#This Row],[Revenue]]*100</f>
        <v>46.655773420479299</v>
      </c>
    </row>
    <row r="437" spans="1:10" x14ac:dyDescent="0.35">
      <c r="A437" t="s">
        <v>569</v>
      </c>
      <c r="B437" s="4">
        <v>44952</v>
      </c>
      <c r="C437" t="s">
        <v>146</v>
      </c>
      <c r="D437" t="s">
        <v>34</v>
      </c>
      <c r="E437">
        <v>20</v>
      </c>
      <c r="F437">
        <v>0</v>
      </c>
      <c r="G437" cm="1">
        <f t="array" ref="G437">SALESTABLE[[#This Row],[Quantity]]*_xlfn.XLOOKUP(SALESTABLE[[#This Row],[Product_ID]],ProductsTable[Product_ID],ProductsTable[Unit_Price],WAASIU,0,1)</f>
        <v>6575</v>
      </c>
      <c r="H437" cm="1">
        <f t="array" ref="H437">SALESTABLE[[#This Row],[Quantity]]*_xlfn.XLOOKUP(SALESTABLE[[#This Row],[Product_ID]],ProductsTable[Product_ID],ProductsTable[Cost_Price],WAASIU,0,1)</f>
        <v>4663.6000000000004</v>
      </c>
      <c r="I437">
        <f>SALESTABLE[[#This Row],[Revenue]]-SALESTABLE[[#This Row],[COST]]</f>
        <v>1911.3999999999996</v>
      </c>
      <c r="J437">
        <f>SALESTABLE[[#This Row],[PROFIT]]/SALESTABLE[[#This Row],[Revenue]]*100</f>
        <v>29.070722433460073</v>
      </c>
    </row>
    <row r="438" spans="1:10" x14ac:dyDescent="0.35">
      <c r="A438" t="s">
        <v>570</v>
      </c>
      <c r="B438" s="4">
        <v>45395</v>
      </c>
      <c r="C438" t="s">
        <v>171</v>
      </c>
      <c r="D438" t="s">
        <v>34</v>
      </c>
      <c r="E438">
        <v>13</v>
      </c>
      <c r="F438">
        <v>5</v>
      </c>
      <c r="G438" cm="1">
        <f t="array" ref="G438">SALESTABLE[[#This Row],[Quantity]]*_xlfn.XLOOKUP(SALESTABLE[[#This Row],[Product_ID]],ProductsTable[Product_ID],ProductsTable[Unit_Price],WAASIU,0,1)</f>
        <v>4273.75</v>
      </c>
      <c r="H438" cm="1">
        <f t="array" ref="H438">SALESTABLE[[#This Row],[Quantity]]*_xlfn.XLOOKUP(SALESTABLE[[#This Row],[Product_ID]],ProductsTable[Product_ID],ProductsTable[Cost_Price],WAASIU,0,1)</f>
        <v>3031.34</v>
      </c>
      <c r="I438">
        <f>SALESTABLE[[#This Row],[Revenue]]-SALESTABLE[[#This Row],[COST]]</f>
        <v>1242.4099999999999</v>
      </c>
      <c r="J438">
        <f>SALESTABLE[[#This Row],[PROFIT]]/SALESTABLE[[#This Row],[Revenue]]*100</f>
        <v>29.070722433460073</v>
      </c>
    </row>
    <row r="439" spans="1:10" x14ac:dyDescent="0.35">
      <c r="A439" t="s">
        <v>571</v>
      </c>
      <c r="B439" s="4">
        <v>45199</v>
      </c>
      <c r="C439" t="s">
        <v>430</v>
      </c>
      <c r="D439" t="s">
        <v>248</v>
      </c>
      <c r="E439">
        <v>4</v>
      </c>
      <c r="F439">
        <v>0</v>
      </c>
      <c r="G439" cm="1">
        <f t="array" ref="G439">SALESTABLE[[#This Row],[Quantity]]*_xlfn.XLOOKUP(SALESTABLE[[#This Row],[Product_ID]],ProductsTable[Product_ID],ProductsTable[Unit_Price],WAASIU,0,1)</f>
        <v>746.84</v>
      </c>
      <c r="H439" cm="1">
        <f t="array" ref="H439">SALESTABLE[[#This Row],[Quantity]]*_xlfn.XLOOKUP(SALESTABLE[[#This Row],[Product_ID]],ProductsTable[Product_ID],ProductsTable[Cost_Price],WAASIU,0,1)</f>
        <v>500.76</v>
      </c>
      <c r="I439">
        <f>SALESTABLE[[#This Row],[Revenue]]-SALESTABLE[[#This Row],[COST]]</f>
        <v>246.08000000000004</v>
      </c>
      <c r="J439">
        <f>SALESTABLE[[#This Row],[PROFIT]]/SALESTABLE[[#This Row],[Revenue]]*100</f>
        <v>32.94949386749505</v>
      </c>
    </row>
    <row r="440" spans="1:10" x14ac:dyDescent="0.35">
      <c r="A440" t="s">
        <v>572</v>
      </c>
      <c r="B440" s="4">
        <v>45374</v>
      </c>
      <c r="C440" t="s">
        <v>30</v>
      </c>
      <c r="D440" t="s">
        <v>28</v>
      </c>
      <c r="E440">
        <v>1</v>
      </c>
      <c r="F440">
        <v>10</v>
      </c>
      <c r="G440" cm="1">
        <f t="array" ref="G440">SALESTABLE[[#This Row],[Quantity]]*_xlfn.XLOOKUP(SALESTABLE[[#This Row],[Product_ID]],ProductsTable[Product_ID],ProductsTable[Unit_Price],WAASIU,0,1)</f>
        <v>425.48</v>
      </c>
      <c r="H440" cm="1">
        <f t="array" ref="H440">SALESTABLE[[#This Row],[Quantity]]*_xlfn.XLOOKUP(SALESTABLE[[#This Row],[Product_ID]],ProductsTable[Product_ID],ProductsTable[Cost_Price],WAASIU,0,1)</f>
        <v>233.48</v>
      </c>
      <c r="I440">
        <f>SALESTABLE[[#This Row],[Revenue]]-SALESTABLE[[#This Row],[COST]]</f>
        <v>192.00000000000003</v>
      </c>
      <c r="J440">
        <f>SALESTABLE[[#This Row],[PROFIT]]/SALESTABLE[[#This Row],[Revenue]]*100</f>
        <v>45.12550531164802</v>
      </c>
    </row>
    <row r="441" spans="1:10" x14ac:dyDescent="0.35">
      <c r="A441" t="s">
        <v>573</v>
      </c>
      <c r="B441" s="4">
        <v>45657</v>
      </c>
      <c r="C441" t="s">
        <v>118</v>
      </c>
      <c r="D441" t="s">
        <v>19</v>
      </c>
      <c r="E441">
        <v>5</v>
      </c>
      <c r="F441">
        <v>10</v>
      </c>
      <c r="G441" cm="1">
        <f t="array" ref="G441">SALESTABLE[[#This Row],[Quantity]]*_xlfn.XLOOKUP(SALESTABLE[[#This Row],[Product_ID]],ProductsTable[Product_ID],ProductsTable[Unit_Price],WAASIU,0,1)</f>
        <v>303.8</v>
      </c>
      <c r="H441" cm="1">
        <f t="array" ref="H441">SALESTABLE[[#This Row],[Quantity]]*_xlfn.XLOOKUP(SALESTABLE[[#This Row],[Product_ID]],ProductsTable[Product_ID],ProductsTable[Cost_Price],WAASIU,0,1)</f>
        <v>202.25</v>
      </c>
      <c r="I441">
        <f>SALESTABLE[[#This Row],[Revenue]]-SALESTABLE[[#This Row],[COST]]</f>
        <v>101.55000000000001</v>
      </c>
      <c r="J441">
        <f>SALESTABLE[[#This Row],[PROFIT]]/SALESTABLE[[#This Row],[Revenue]]*100</f>
        <v>33.426596445029624</v>
      </c>
    </row>
    <row r="442" spans="1:10" x14ac:dyDescent="0.35">
      <c r="A442" t="s">
        <v>574</v>
      </c>
      <c r="B442" s="4">
        <v>45579</v>
      </c>
      <c r="C442" t="s">
        <v>575</v>
      </c>
      <c r="D442" t="s">
        <v>49</v>
      </c>
      <c r="E442">
        <v>18</v>
      </c>
      <c r="F442">
        <v>0</v>
      </c>
      <c r="G442" cm="1">
        <f t="array" ref="G442">SALESTABLE[[#This Row],[Quantity]]*_xlfn.XLOOKUP(SALESTABLE[[#This Row],[Product_ID]],ProductsTable[Product_ID],ProductsTable[Unit_Price],WAASIU,0,1)</f>
        <v>4133.34</v>
      </c>
      <c r="H442" cm="1">
        <f t="array" ref="H442">SALESTABLE[[#This Row],[Quantity]]*_xlfn.XLOOKUP(SALESTABLE[[#This Row],[Product_ID]],ProductsTable[Product_ID],ProductsTable[Cost_Price],WAASIU,0,1)</f>
        <v>2365.56</v>
      </c>
      <c r="I442">
        <f>SALESTABLE[[#This Row],[Revenue]]-SALESTABLE[[#This Row],[COST]]</f>
        <v>1767.7800000000002</v>
      </c>
      <c r="J442">
        <f>SALESTABLE[[#This Row],[PROFIT]]/SALESTABLE[[#This Row],[Revenue]]*100</f>
        <v>42.76880198580325</v>
      </c>
    </row>
    <row r="443" spans="1:10" x14ac:dyDescent="0.35">
      <c r="A443" t="s">
        <v>576</v>
      </c>
      <c r="B443" s="4">
        <v>45016</v>
      </c>
      <c r="C443" t="s">
        <v>38</v>
      </c>
      <c r="D443" t="s">
        <v>97</v>
      </c>
      <c r="E443">
        <v>16</v>
      </c>
      <c r="F443">
        <v>0</v>
      </c>
      <c r="G443" cm="1">
        <f t="array" ref="G443">SALESTABLE[[#This Row],[Quantity]]*_xlfn.XLOOKUP(SALESTABLE[[#This Row],[Product_ID]],ProductsTable[Product_ID],ProductsTable[Unit_Price],WAASIU,0,1)</f>
        <v>4963.3599999999997</v>
      </c>
      <c r="H443" cm="1">
        <f t="array" ref="H443">SALESTABLE[[#This Row],[Quantity]]*_xlfn.XLOOKUP(SALESTABLE[[#This Row],[Product_ID]],ProductsTable[Product_ID],ProductsTable[Cost_Price],WAASIU,0,1)</f>
        <v>3604.64</v>
      </c>
      <c r="I443">
        <f>SALESTABLE[[#This Row],[Revenue]]-SALESTABLE[[#This Row],[COST]]</f>
        <v>1358.7199999999998</v>
      </c>
      <c r="J443">
        <f>SALESTABLE[[#This Row],[PROFIT]]/SALESTABLE[[#This Row],[Revenue]]*100</f>
        <v>27.375004029528384</v>
      </c>
    </row>
    <row r="444" spans="1:10" x14ac:dyDescent="0.35">
      <c r="A444" t="s">
        <v>577</v>
      </c>
      <c r="B444" s="4">
        <v>45074</v>
      </c>
      <c r="C444" t="s">
        <v>99</v>
      </c>
      <c r="D444" t="s">
        <v>25</v>
      </c>
      <c r="E444">
        <v>9</v>
      </c>
      <c r="F444">
        <v>5</v>
      </c>
      <c r="G444" cm="1">
        <f t="array" ref="G444">SALESTABLE[[#This Row],[Quantity]]*_xlfn.XLOOKUP(SALESTABLE[[#This Row],[Product_ID]],ProductsTable[Product_ID],ProductsTable[Unit_Price],WAASIU,0,1)</f>
        <v>1599.84</v>
      </c>
      <c r="H444" cm="1">
        <f t="array" ref="H444">SALESTABLE[[#This Row],[Quantity]]*_xlfn.XLOOKUP(SALESTABLE[[#This Row],[Product_ID]],ProductsTable[Product_ID],ProductsTable[Cost_Price],WAASIU,0,1)</f>
        <v>826.92</v>
      </c>
      <c r="I444">
        <f>SALESTABLE[[#This Row],[Revenue]]-SALESTABLE[[#This Row],[COST]]</f>
        <v>772.92</v>
      </c>
      <c r="J444">
        <f>SALESTABLE[[#This Row],[PROFIT]]/SALESTABLE[[#This Row],[Revenue]]*100</f>
        <v>48.312331233123309</v>
      </c>
    </row>
    <row r="445" spans="1:10" x14ac:dyDescent="0.35">
      <c r="A445" t="s">
        <v>578</v>
      </c>
      <c r="B445" s="4">
        <v>45177</v>
      </c>
      <c r="C445" t="s">
        <v>99</v>
      </c>
      <c r="D445" t="s">
        <v>84</v>
      </c>
      <c r="E445">
        <v>6</v>
      </c>
      <c r="F445">
        <v>10</v>
      </c>
      <c r="G445" cm="1">
        <f t="array" ref="G445">SALESTABLE[[#This Row],[Quantity]]*_xlfn.XLOOKUP(SALESTABLE[[#This Row],[Product_ID]],ProductsTable[Product_ID],ProductsTable[Unit_Price],WAASIU,0,1)</f>
        <v>1613.3999999999999</v>
      </c>
      <c r="H445" cm="1">
        <f t="array" ref="H445">SALESTABLE[[#This Row],[Quantity]]*_xlfn.XLOOKUP(SALESTABLE[[#This Row],[Product_ID]],ProductsTable[Product_ID],ProductsTable[Cost_Price],WAASIU,0,1)</f>
        <v>935.16000000000008</v>
      </c>
      <c r="I445">
        <f>SALESTABLE[[#This Row],[Revenue]]-SALESTABLE[[#This Row],[COST]]</f>
        <v>678.23999999999978</v>
      </c>
      <c r="J445">
        <f>SALESTABLE[[#This Row],[PROFIT]]/SALESTABLE[[#This Row],[Revenue]]*100</f>
        <v>42.037932316846401</v>
      </c>
    </row>
    <row r="446" spans="1:10" x14ac:dyDescent="0.35">
      <c r="A446" t="s">
        <v>579</v>
      </c>
      <c r="B446" s="4">
        <v>45025</v>
      </c>
      <c r="C446" t="s">
        <v>193</v>
      </c>
      <c r="D446" t="s">
        <v>13</v>
      </c>
      <c r="E446">
        <v>6</v>
      </c>
      <c r="F446">
        <v>15</v>
      </c>
      <c r="G446" cm="1">
        <f t="array" ref="G446">SALESTABLE[[#This Row],[Quantity]]*_xlfn.XLOOKUP(SALESTABLE[[#This Row],[Product_ID]],ProductsTable[Product_ID],ProductsTable[Unit_Price],WAASIU,0,1)</f>
        <v>2611.08</v>
      </c>
      <c r="H446" cm="1">
        <f t="array" ref="H446">SALESTABLE[[#This Row],[Quantity]]*_xlfn.XLOOKUP(SALESTABLE[[#This Row],[Product_ID]],ProductsTable[Product_ID],ProductsTable[Cost_Price],WAASIU,0,1)</f>
        <v>1385.6999999999998</v>
      </c>
      <c r="I446">
        <f>SALESTABLE[[#This Row],[Revenue]]-SALESTABLE[[#This Row],[COST]]</f>
        <v>1225.3800000000001</v>
      </c>
      <c r="J446">
        <f>SALESTABLE[[#This Row],[PROFIT]]/SALESTABLE[[#This Row],[Revenue]]*100</f>
        <v>46.930005974539277</v>
      </c>
    </row>
    <row r="447" spans="1:10" x14ac:dyDescent="0.35">
      <c r="A447" t="s">
        <v>580</v>
      </c>
      <c r="B447" s="4">
        <v>45446</v>
      </c>
      <c r="C447" t="s">
        <v>33</v>
      </c>
      <c r="D447" t="s">
        <v>133</v>
      </c>
      <c r="E447">
        <v>14</v>
      </c>
      <c r="F447">
        <v>5</v>
      </c>
      <c r="G447" cm="1">
        <f t="array" ref="G447">SALESTABLE[[#This Row],[Quantity]]*_xlfn.XLOOKUP(SALESTABLE[[#This Row],[Product_ID]],ProductsTable[Product_ID],ProductsTable[Unit_Price],WAASIU,0,1)</f>
        <v>4914</v>
      </c>
      <c r="H447" cm="1">
        <f t="array" ref="H447">SALESTABLE[[#This Row],[Quantity]]*_xlfn.XLOOKUP(SALESTABLE[[#This Row],[Product_ID]],ProductsTable[Product_ID],ProductsTable[Cost_Price],WAASIU,0,1)</f>
        <v>3270.8199999999997</v>
      </c>
      <c r="I447">
        <f>SALESTABLE[[#This Row],[Revenue]]-SALESTABLE[[#This Row],[COST]]</f>
        <v>1643.1800000000003</v>
      </c>
      <c r="J447">
        <f>SALESTABLE[[#This Row],[PROFIT]]/SALESTABLE[[#This Row],[Revenue]]*100</f>
        <v>33.438746438746449</v>
      </c>
    </row>
    <row r="448" spans="1:10" x14ac:dyDescent="0.35">
      <c r="A448" t="s">
        <v>581</v>
      </c>
      <c r="B448" s="4">
        <v>45513</v>
      </c>
      <c r="C448" t="s">
        <v>366</v>
      </c>
      <c r="D448" t="s">
        <v>84</v>
      </c>
      <c r="E448">
        <v>2</v>
      </c>
      <c r="F448">
        <v>10</v>
      </c>
      <c r="G448" cm="1">
        <f t="array" ref="G448">SALESTABLE[[#This Row],[Quantity]]*_xlfn.XLOOKUP(SALESTABLE[[#This Row],[Product_ID]],ProductsTable[Product_ID],ProductsTable[Unit_Price],WAASIU,0,1)</f>
        <v>537.79999999999995</v>
      </c>
      <c r="H448" cm="1">
        <f t="array" ref="H448">SALESTABLE[[#This Row],[Quantity]]*_xlfn.XLOOKUP(SALESTABLE[[#This Row],[Product_ID]],ProductsTable[Product_ID],ProductsTable[Cost_Price],WAASIU,0,1)</f>
        <v>311.72000000000003</v>
      </c>
      <c r="I448">
        <f>SALESTABLE[[#This Row],[Revenue]]-SALESTABLE[[#This Row],[COST]]</f>
        <v>226.07999999999993</v>
      </c>
      <c r="J448">
        <f>SALESTABLE[[#This Row],[PROFIT]]/SALESTABLE[[#This Row],[Revenue]]*100</f>
        <v>42.037932316846401</v>
      </c>
    </row>
    <row r="449" spans="1:10" x14ac:dyDescent="0.35">
      <c r="A449" t="s">
        <v>582</v>
      </c>
      <c r="B449" s="4">
        <v>45499</v>
      </c>
      <c r="C449" t="s">
        <v>195</v>
      </c>
      <c r="D449" t="s">
        <v>107</v>
      </c>
      <c r="E449">
        <v>13</v>
      </c>
      <c r="F449">
        <v>0</v>
      </c>
      <c r="G449" cm="1">
        <f t="array" ref="G449">SALESTABLE[[#This Row],[Quantity]]*_xlfn.XLOOKUP(SALESTABLE[[#This Row],[Product_ID]],ProductsTable[Product_ID],ProductsTable[Unit_Price],WAASIU,0,1)</f>
        <v>845.13000000000011</v>
      </c>
      <c r="H449" cm="1">
        <f t="array" ref="H449">SALESTABLE[[#This Row],[Quantity]]*_xlfn.XLOOKUP(SALESTABLE[[#This Row],[Product_ID]],ProductsTable[Product_ID],ProductsTable[Cost_Price],WAASIU,0,1)</f>
        <v>478.78999999999996</v>
      </c>
      <c r="I449">
        <f>SALESTABLE[[#This Row],[Revenue]]-SALESTABLE[[#This Row],[COST]]</f>
        <v>366.34000000000015</v>
      </c>
      <c r="J449">
        <f>SALESTABLE[[#This Row],[PROFIT]]/SALESTABLE[[#This Row],[Revenue]]*100</f>
        <v>43.347177357329656</v>
      </c>
    </row>
    <row r="450" spans="1:10" x14ac:dyDescent="0.35">
      <c r="A450" t="s">
        <v>583</v>
      </c>
      <c r="B450" s="4">
        <v>45442</v>
      </c>
      <c r="C450" t="s">
        <v>274</v>
      </c>
      <c r="D450" t="s">
        <v>110</v>
      </c>
      <c r="E450">
        <v>6</v>
      </c>
      <c r="F450">
        <v>10</v>
      </c>
      <c r="G450" cm="1">
        <f t="array" ref="G450">SALESTABLE[[#This Row],[Quantity]]*_xlfn.XLOOKUP(SALESTABLE[[#This Row],[Product_ID]],ProductsTable[Product_ID],ProductsTable[Unit_Price],WAASIU,0,1)</f>
        <v>2947.92</v>
      </c>
      <c r="H450" cm="1">
        <f t="array" ref="H450">SALESTABLE[[#This Row],[Quantity]]*_xlfn.XLOOKUP(SALESTABLE[[#This Row],[Product_ID]],ProductsTable[Product_ID],ProductsTable[Cost_Price],WAASIU,0,1)</f>
        <v>1608.66</v>
      </c>
      <c r="I450">
        <f>SALESTABLE[[#This Row],[Revenue]]-SALESTABLE[[#This Row],[COST]]</f>
        <v>1339.26</v>
      </c>
      <c r="J450">
        <f>SALESTABLE[[#This Row],[PROFIT]]/SALESTABLE[[#This Row],[Revenue]]*100</f>
        <v>45.430676544818041</v>
      </c>
    </row>
    <row r="451" spans="1:10" x14ac:dyDescent="0.35">
      <c r="A451" t="s">
        <v>584</v>
      </c>
      <c r="B451" s="4">
        <v>44963</v>
      </c>
      <c r="C451" t="s">
        <v>73</v>
      </c>
      <c r="D451" t="s">
        <v>107</v>
      </c>
      <c r="E451">
        <v>5</v>
      </c>
      <c r="F451">
        <v>10</v>
      </c>
      <c r="G451" cm="1">
        <f t="array" ref="G451">SALESTABLE[[#This Row],[Quantity]]*_xlfn.XLOOKUP(SALESTABLE[[#This Row],[Product_ID]],ProductsTable[Product_ID],ProductsTable[Unit_Price],WAASIU,0,1)</f>
        <v>325.05</v>
      </c>
      <c r="H451" cm="1">
        <f t="array" ref="H451">SALESTABLE[[#This Row],[Quantity]]*_xlfn.XLOOKUP(SALESTABLE[[#This Row],[Product_ID]],ProductsTable[Product_ID],ProductsTable[Cost_Price],WAASIU,0,1)</f>
        <v>184.14999999999998</v>
      </c>
      <c r="I451">
        <f>SALESTABLE[[#This Row],[Revenue]]-SALESTABLE[[#This Row],[COST]]</f>
        <v>140.90000000000003</v>
      </c>
      <c r="J451">
        <f>SALESTABLE[[#This Row],[PROFIT]]/SALESTABLE[[#This Row],[Revenue]]*100</f>
        <v>43.347177357329656</v>
      </c>
    </row>
    <row r="452" spans="1:10" x14ac:dyDescent="0.35">
      <c r="A452" t="s">
        <v>585</v>
      </c>
      <c r="B452" s="4">
        <v>45092</v>
      </c>
      <c r="C452" t="s">
        <v>284</v>
      </c>
      <c r="D452" t="s">
        <v>49</v>
      </c>
      <c r="E452">
        <v>3</v>
      </c>
      <c r="F452">
        <v>15</v>
      </c>
      <c r="G452" cm="1">
        <f t="array" ref="G452">SALESTABLE[[#This Row],[Quantity]]*_xlfn.XLOOKUP(SALESTABLE[[#This Row],[Product_ID]],ProductsTable[Product_ID],ProductsTable[Unit_Price],WAASIU,0,1)</f>
        <v>688.89</v>
      </c>
      <c r="H452" cm="1">
        <f t="array" ref="H452">SALESTABLE[[#This Row],[Quantity]]*_xlfn.XLOOKUP(SALESTABLE[[#This Row],[Product_ID]],ProductsTable[Product_ID],ProductsTable[Cost_Price],WAASIU,0,1)</f>
        <v>394.26</v>
      </c>
      <c r="I452">
        <f>SALESTABLE[[#This Row],[Revenue]]-SALESTABLE[[#This Row],[COST]]</f>
        <v>294.63</v>
      </c>
      <c r="J452">
        <f>SALESTABLE[[#This Row],[PROFIT]]/SALESTABLE[[#This Row],[Revenue]]*100</f>
        <v>42.76880198580325</v>
      </c>
    </row>
    <row r="453" spans="1:10" x14ac:dyDescent="0.35">
      <c r="A453" t="s">
        <v>586</v>
      </c>
      <c r="B453" s="4">
        <v>45591</v>
      </c>
      <c r="C453" t="s">
        <v>171</v>
      </c>
      <c r="D453" t="s">
        <v>28</v>
      </c>
      <c r="E453">
        <v>18</v>
      </c>
      <c r="F453">
        <v>10</v>
      </c>
      <c r="G453" cm="1">
        <f t="array" ref="G453">SALESTABLE[[#This Row],[Quantity]]*_xlfn.XLOOKUP(SALESTABLE[[#This Row],[Product_ID]],ProductsTable[Product_ID],ProductsTable[Unit_Price],WAASIU,0,1)</f>
        <v>7658.64</v>
      </c>
      <c r="H453" cm="1">
        <f t="array" ref="H453">SALESTABLE[[#This Row],[Quantity]]*_xlfn.XLOOKUP(SALESTABLE[[#This Row],[Product_ID]],ProductsTable[Product_ID],ProductsTable[Cost_Price],WAASIU,0,1)</f>
        <v>4202.6399999999994</v>
      </c>
      <c r="I453">
        <f>SALESTABLE[[#This Row],[Revenue]]-SALESTABLE[[#This Row],[COST]]</f>
        <v>3456.0000000000009</v>
      </c>
      <c r="J453">
        <f>SALESTABLE[[#This Row],[PROFIT]]/SALESTABLE[[#This Row],[Revenue]]*100</f>
        <v>45.125505311648027</v>
      </c>
    </row>
    <row r="454" spans="1:10" x14ac:dyDescent="0.35">
      <c r="A454" t="s">
        <v>587</v>
      </c>
      <c r="B454" s="4">
        <v>44978</v>
      </c>
      <c r="C454" t="s">
        <v>311</v>
      </c>
      <c r="D454" t="s">
        <v>52</v>
      </c>
      <c r="E454">
        <v>17</v>
      </c>
      <c r="F454">
        <v>10</v>
      </c>
      <c r="G454" cm="1">
        <f t="array" ref="G454">SALESTABLE[[#This Row],[Quantity]]*_xlfn.XLOOKUP(SALESTABLE[[#This Row],[Product_ID]],ProductsTable[Product_ID],ProductsTable[Unit_Price],WAASIU,0,1)</f>
        <v>3124.26</v>
      </c>
      <c r="H454" cm="1">
        <f t="array" ref="H454">SALESTABLE[[#This Row],[Quantity]]*_xlfn.XLOOKUP(SALESTABLE[[#This Row],[Product_ID]],ProductsTable[Product_ID],ProductsTable[Cost_Price],WAASIU,0,1)</f>
        <v>1965.71</v>
      </c>
      <c r="I454">
        <f>SALESTABLE[[#This Row],[Revenue]]-SALESTABLE[[#This Row],[COST]]</f>
        <v>1158.5500000000002</v>
      </c>
      <c r="J454">
        <f>SALESTABLE[[#This Row],[PROFIT]]/SALESTABLE[[#This Row],[Revenue]]*100</f>
        <v>37.082381107846338</v>
      </c>
    </row>
    <row r="455" spans="1:10" x14ac:dyDescent="0.35">
      <c r="A455" t="s">
        <v>588</v>
      </c>
      <c r="B455" s="4">
        <v>45563</v>
      </c>
      <c r="C455" t="s">
        <v>229</v>
      </c>
      <c r="D455" t="s">
        <v>139</v>
      </c>
      <c r="E455">
        <v>15</v>
      </c>
      <c r="F455">
        <v>5</v>
      </c>
      <c r="G455" cm="1">
        <f t="array" ref="G455">SALESTABLE[[#This Row],[Quantity]]*_xlfn.XLOOKUP(SALESTABLE[[#This Row],[Product_ID]],ProductsTable[Product_ID],ProductsTable[Unit_Price],WAASIU,0,1)</f>
        <v>6856.6500000000005</v>
      </c>
      <c r="H455" cm="1">
        <f t="array" ref="H455">SALESTABLE[[#This Row],[Quantity]]*_xlfn.XLOOKUP(SALESTABLE[[#This Row],[Product_ID]],ProductsTable[Product_ID],ProductsTable[Cost_Price],WAASIU,0,1)</f>
        <v>4912.7999999999993</v>
      </c>
      <c r="I455">
        <f>SALESTABLE[[#This Row],[Revenue]]-SALESTABLE[[#This Row],[COST]]</f>
        <v>1943.8500000000013</v>
      </c>
      <c r="J455">
        <f>SALESTABLE[[#This Row],[PROFIT]]/SALESTABLE[[#This Row],[Revenue]]*100</f>
        <v>28.349850145479223</v>
      </c>
    </row>
    <row r="456" spans="1:10" x14ac:dyDescent="0.35">
      <c r="A456" t="s">
        <v>589</v>
      </c>
      <c r="B456" s="4">
        <v>45590</v>
      </c>
      <c r="C456" t="s">
        <v>65</v>
      </c>
      <c r="D456" t="s">
        <v>133</v>
      </c>
      <c r="E456">
        <v>8</v>
      </c>
      <c r="F456">
        <v>5</v>
      </c>
      <c r="G456" cm="1">
        <f t="array" ref="G456">SALESTABLE[[#This Row],[Quantity]]*_xlfn.XLOOKUP(SALESTABLE[[#This Row],[Product_ID]],ProductsTable[Product_ID],ProductsTable[Unit_Price],WAASIU,0,1)</f>
        <v>2808</v>
      </c>
      <c r="H456" cm="1">
        <f t="array" ref="H456">SALESTABLE[[#This Row],[Quantity]]*_xlfn.XLOOKUP(SALESTABLE[[#This Row],[Product_ID]],ProductsTable[Product_ID],ProductsTable[Cost_Price],WAASIU,0,1)</f>
        <v>1869.04</v>
      </c>
      <c r="I456">
        <f>SALESTABLE[[#This Row],[Revenue]]-SALESTABLE[[#This Row],[COST]]</f>
        <v>938.96</v>
      </c>
      <c r="J456">
        <f>SALESTABLE[[#This Row],[PROFIT]]/SALESTABLE[[#This Row],[Revenue]]*100</f>
        <v>33.438746438746442</v>
      </c>
    </row>
    <row r="457" spans="1:10" x14ac:dyDescent="0.35">
      <c r="A457" t="s">
        <v>590</v>
      </c>
      <c r="B457" s="4">
        <v>45622</v>
      </c>
      <c r="C457" t="s">
        <v>59</v>
      </c>
      <c r="D457" t="s">
        <v>31</v>
      </c>
      <c r="E457">
        <v>5</v>
      </c>
      <c r="F457">
        <v>15</v>
      </c>
      <c r="G457" cm="1">
        <f t="array" ref="G457">SALESTABLE[[#This Row],[Quantity]]*_xlfn.XLOOKUP(SALESTABLE[[#This Row],[Product_ID]],ProductsTable[Product_ID],ProductsTable[Unit_Price],WAASIU,0,1)</f>
        <v>865.69999999999993</v>
      </c>
      <c r="H457" cm="1">
        <f t="array" ref="H457">SALESTABLE[[#This Row],[Quantity]]*_xlfn.XLOOKUP(SALESTABLE[[#This Row],[Product_ID]],ProductsTable[Product_ID],ProductsTable[Cost_Price],WAASIU,0,1)</f>
        <v>501.45000000000005</v>
      </c>
      <c r="I457">
        <f>SALESTABLE[[#This Row],[Revenue]]-SALESTABLE[[#This Row],[COST]]</f>
        <v>364.24999999999989</v>
      </c>
      <c r="J457">
        <f>SALESTABLE[[#This Row],[PROFIT]]/SALESTABLE[[#This Row],[Revenue]]*100</f>
        <v>42.07577682800045</v>
      </c>
    </row>
    <row r="458" spans="1:10" x14ac:dyDescent="0.35">
      <c r="A458" t="s">
        <v>591</v>
      </c>
      <c r="B458" s="4">
        <v>45557</v>
      </c>
      <c r="C458" t="s">
        <v>15</v>
      </c>
      <c r="D458" t="s">
        <v>74</v>
      </c>
      <c r="E458">
        <v>9</v>
      </c>
      <c r="F458">
        <v>15</v>
      </c>
      <c r="G458" cm="1">
        <f t="array" ref="G458">SALESTABLE[[#This Row],[Quantity]]*_xlfn.XLOOKUP(SALESTABLE[[#This Row],[Product_ID]],ProductsTable[Product_ID],ProductsTable[Unit_Price],WAASIU,0,1)</f>
        <v>387</v>
      </c>
      <c r="H458" cm="1">
        <f t="array" ref="H458">SALESTABLE[[#This Row],[Quantity]]*_xlfn.XLOOKUP(SALESTABLE[[#This Row],[Product_ID]],ProductsTable[Product_ID],ProductsTable[Cost_Price],WAASIU,0,1)</f>
        <v>270.45</v>
      </c>
      <c r="I458">
        <f>SALESTABLE[[#This Row],[Revenue]]-SALESTABLE[[#This Row],[COST]]</f>
        <v>116.55000000000001</v>
      </c>
      <c r="J458">
        <f>SALESTABLE[[#This Row],[PROFIT]]/SALESTABLE[[#This Row],[Revenue]]*100</f>
        <v>30.116279069767444</v>
      </c>
    </row>
    <row r="459" spans="1:10" x14ac:dyDescent="0.35">
      <c r="A459" t="s">
        <v>592</v>
      </c>
      <c r="B459" s="4">
        <v>44999</v>
      </c>
      <c r="C459" t="s">
        <v>306</v>
      </c>
      <c r="D459" t="s">
        <v>28</v>
      </c>
      <c r="E459">
        <v>3</v>
      </c>
      <c r="F459">
        <v>10</v>
      </c>
      <c r="G459" cm="1">
        <f t="array" ref="G459">SALESTABLE[[#This Row],[Quantity]]*_xlfn.XLOOKUP(SALESTABLE[[#This Row],[Product_ID]],ProductsTable[Product_ID],ProductsTable[Unit_Price],WAASIU,0,1)</f>
        <v>1276.44</v>
      </c>
      <c r="H459" cm="1">
        <f t="array" ref="H459">SALESTABLE[[#This Row],[Quantity]]*_xlfn.XLOOKUP(SALESTABLE[[#This Row],[Product_ID]],ProductsTable[Product_ID],ProductsTable[Cost_Price],WAASIU,0,1)</f>
        <v>700.43999999999994</v>
      </c>
      <c r="I459">
        <f>SALESTABLE[[#This Row],[Revenue]]-SALESTABLE[[#This Row],[COST]]</f>
        <v>576.00000000000011</v>
      </c>
      <c r="J459">
        <f>SALESTABLE[[#This Row],[PROFIT]]/SALESTABLE[[#This Row],[Revenue]]*100</f>
        <v>45.125505311648027</v>
      </c>
    </row>
    <row r="460" spans="1:10" x14ac:dyDescent="0.35">
      <c r="A460" t="s">
        <v>593</v>
      </c>
      <c r="B460" s="4">
        <v>45052</v>
      </c>
      <c r="C460" t="s">
        <v>30</v>
      </c>
      <c r="D460" t="s">
        <v>77</v>
      </c>
      <c r="E460">
        <v>8</v>
      </c>
      <c r="F460">
        <v>5</v>
      </c>
      <c r="G460" cm="1">
        <f t="array" ref="G460">SALESTABLE[[#This Row],[Quantity]]*_xlfn.XLOOKUP(SALESTABLE[[#This Row],[Product_ID]],ProductsTable[Product_ID],ProductsTable[Unit_Price],WAASIU,0,1)</f>
        <v>734.4</v>
      </c>
      <c r="H460" cm="1">
        <f t="array" ref="H460">SALESTABLE[[#This Row],[Quantity]]*_xlfn.XLOOKUP(SALESTABLE[[#This Row],[Product_ID]],ProductsTable[Product_ID],ProductsTable[Cost_Price],WAASIU,0,1)</f>
        <v>391.76</v>
      </c>
      <c r="I460">
        <f>SALESTABLE[[#This Row],[Revenue]]-SALESTABLE[[#This Row],[COST]]</f>
        <v>342.64</v>
      </c>
      <c r="J460">
        <f>SALESTABLE[[#This Row],[PROFIT]]/SALESTABLE[[#This Row],[Revenue]]*100</f>
        <v>46.655773420479299</v>
      </c>
    </row>
    <row r="461" spans="1:10" x14ac:dyDescent="0.35">
      <c r="A461" t="s">
        <v>594</v>
      </c>
      <c r="B461" s="4">
        <v>45180</v>
      </c>
      <c r="C461" t="s">
        <v>43</v>
      </c>
      <c r="D461" t="s">
        <v>248</v>
      </c>
      <c r="E461">
        <v>12</v>
      </c>
      <c r="F461">
        <v>10</v>
      </c>
      <c r="G461" cm="1">
        <f t="array" ref="G461">SALESTABLE[[#This Row],[Quantity]]*_xlfn.XLOOKUP(SALESTABLE[[#This Row],[Product_ID]],ProductsTable[Product_ID],ProductsTable[Unit_Price],WAASIU,0,1)</f>
        <v>2240.52</v>
      </c>
      <c r="H461" cm="1">
        <f t="array" ref="H461">SALESTABLE[[#This Row],[Quantity]]*_xlfn.XLOOKUP(SALESTABLE[[#This Row],[Product_ID]],ProductsTable[Product_ID],ProductsTable[Cost_Price],WAASIU,0,1)</f>
        <v>1502.28</v>
      </c>
      <c r="I461">
        <f>SALESTABLE[[#This Row],[Revenue]]-SALESTABLE[[#This Row],[COST]]</f>
        <v>738.24</v>
      </c>
      <c r="J461">
        <f>SALESTABLE[[#This Row],[PROFIT]]/SALESTABLE[[#This Row],[Revenue]]*100</f>
        <v>32.949493867495043</v>
      </c>
    </row>
    <row r="462" spans="1:10" x14ac:dyDescent="0.35">
      <c r="A462" t="s">
        <v>595</v>
      </c>
      <c r="B462" s="4">
        <v>45414</v>
      </c>
      <c r="C462" t="s">
        <v>181</v>
      </c>
      <c r="D462" t="s">
        <v>52</v>
      </c>
      <c r="E462">
        <v>3</v>
      </c>
      <c r="F462">
        <v>15</v>
      </c>
      <c r="G462" cm="1">
        <f t="array" ref="G462">SALESTABLE[[#This Row],[Quantity]]*_xlfn.XLOOKUP(SALESTABLE[[#This Row],[Product_ID]],ProductsTable[Product_ID],ProductsTable[Unit_Price],WAASIU,0,1)</f>
        <v>551.34</v>
      </c>
      <c r="H462" cm="1">
        <f t="array" ref="H462">SALESTABLE[[#This Row],[Quantity]]*_xlfn.XLOOKUP(SALESTABLE[[#This Row],[Product_ID]],ProductsTable[Product_ID],ProductsTable[Cost_Price],WAASIU,0,1)</f>
        <v>346.89</v>
      </c>
      <c r="I462">
        <f>SALESTABLE[[#This Row],[Revenue]]-SALESTABLE[[#This Row],[COST]]</f>
        <v>204.45000000000005</v>
      </c>
      <c r="J462">
        <f>SALESTABLE[[#This Row],[PROFIT]]/SALESTABLE[[#This Row],[Revenue]]*100</f>
        <v>37.082381107846345</v>
      </c>
    </row>
    <row r="463" spans="1:10" x14ac:dyDescent="0.35">
      <c r="A463" t="s">
        <v>596</v>
      </c>
      <c r="B463" s="4">
        <v>45583</v>
      </c>
      <c r="C463" t="s">
        <v>306</v>
      </c>
      <c r="D463" t="s">
        <v>31</v>
      </c>
      <c r="E463">
        <v>12</v>
      </c>
      <c r="F463">
        <v>15</v>
      </c>
      <c r="G463" cm="1">
        <f t="array" ref="G463">SALESTABLE[[#This Row],[Quantity]]*_xlfn.XLOOKUP(SALESTABLE[[#This Row],[Product_ID]],ProductsTable[Product_ID],ProductsTable[Unit_Price],WAASIU,0,1)</f>
        <v>2077.6799999999998</v>
      </c>
      <c r="H463" cm="1">
        <f t="array" ref="H463">SALESTABLE[[#This Row],[Quantity]]*_xlfn.XLOOKUP(SALESTABLE[[#This Row],[Product_ID]],ProductsTable[Product_ID],ProductsTable[Cost_Price],WAASIU,0,1)</f>
        <v>1203.48</v>
      </c>
      <c r="I463">
        <f>SALESTABLE[[#This Row],[Revenue]]-SALESTABLE[[#This Row],[COST]]</f>
        <v>874.19999999999982</v>
      </c>
      <c r="J463">
        <f>SALESTABLE[[#This Row],[PROFIT]]/SALESTABLE[[#This Row],[Revenue]]*100</f>
        <v>42.075776828000457</v>
      </c>
    </row>
    <row r="464" spans="1:10" x14ac:dyDescent="0.35">
      <c r="A464" t="s">
        <v>597</v>
      </c>
      <c r="B464" s="4">
        <v>45218</v>
      </c>
      <c r="C464" t="s">
        <v>102</v>
      </c>
      <c r="D464" t="s">
        <v>127</v>
      </c>
      <c r="E464">
        <v>5</v>
      </c>
      <c r="F464">
        <v>15</v>
      </c>
      <c r="G464" cm="1">
        <f t="array" ref="G464">SALESTABLE[[#This Row],[Quantity]]*_xlfn.XLOOKUP(SALESTABLE[[#This Row],[Product_ID]],ProductsTable[Product_ID],ProductsTable[Unit_Price],WAASIU,0,1)</f>
        <v>460.34999999999997</v>
      </c>
      <c r="H464" cm="1">
        <f t="array" ref="H464">SALESTABLE[[#This Row],[Quantity]]*_xlfn.XLOOKUP(SALESTABLE[[#This Row],[Product_ID]],ProductsTable[Product_ID],ProductsTable[Cost_Price],WAASIU,0,1)</f>
        <v>281.8</v>
      </c>
      <c r="I464">
        <f>SALESTABLE[[#This Row],[Revenue]]-SALESTABLE[[#This Row],[COST]]</f>
        <v>178.54999999999995</v>
      </c>
      <c r="J464">
        <f>SALESTABLE[[#This Row],[PROFIT]]/SALESTABLE[[#This Row],[Revenue]]*100</f>
        <v>38.785706527642006</v>
      </c>
    </row>
    <row r="465" spans="1:10" x14ac:dyDescent="0.35">
      <c r="A465" t="s">
        <v>598</v>
      </c>
      <c r="B465" s="4">
        <v>44945</v>
      </c>
      <c r="C465" t="s">
        <v>106</v>
      </c>
      <c r="D465" t="s">
        <v>8</v>
      </c>
      <c r="E465">
        <v>3</v>
      </c>
      <c r="F465">
        <v>15</v>
      </c>
      <c r="G465" cm="1">
        <f t="array" ref="G465">SALESTABLE[[#This Row],[Quantity]]*_xlfn.XLOOKUP(SALESTABLE[[#This Row],[Product_ID]],ProductsTable[Product_ID],ProductsTable[Unit_Price],WAASIU,0,1)</f>
        <v>1008.96</v>
      </c>
      <c r="H465" cm="1">
        <f t="array" ref="H465">SALESTABLE[[#This Row],[Quantity]]*_xlfn.XLOOKUP(SALESTABLE[[#This Row],[Product_ID]],ProductsTable[Product_ID],ProductsTable[Cost_Price],WAASIU,0,1)</f>
        <v>683.34</v>
      </c>
      <c r="I465">
        <f>SALESTABLE[[#This Row],[Revenue]]-SALESTABLE[[#This Row],[COST]]</f>
        <v>325.62</v>
      </c>
      <c r="J465">
        <f>SALESTABLE[[#This Row],[PROFIT]]/SALESTABLE[[#This Row],[Revenue]]*100</f>
        <v>32.272835394862035</v>
      </c>
    </row>
    <row r="466" spans="1:10" x14ac:dyDescent="0.35">
      <c r="A466" t="s">
        <v>599</v>
      </c>
      <c r="B466" s="4">
        <v>44959</v>
      </c>
      <c r="C466" t="s">
        <v>270</v>
      </c>
      <c r="D466" t="s">
        <v>16</v>
      </c>
      <c r="E466">
        <v>10</v>
      </c>
      <c r="F466">
        <v>15</v>
      </c>
      <c r="G466" cm="1">
        <f t="array" ref="G466">SALESTABLE[[#This Row],[Quantity]]*_xlfn.XLOOKUP(SALESTABLE[[#This Row],[Product_ID]],ProductsTable[Product_ID],ProductsTable[Unit_Price],WAASIU,0,1)</f>
        <v>3621.7000000000003</v>
      </c>
      <c r="H466" cm="1">
        <f t="array" ref="H466">SALESTABLE[[#This Row],[Quantity]]*_xlfn.XLOOKUP(SALESTABLE[[#This Row],[Product_ID]],ProductsTable[Product_ID],ProductsTable[Cost_Price],WAASIU,0,1)</f>
        <v>2333.8000000000002</v>
      </c>
      <c r="I466">
        <f>SALESTABLE[[#This Row],[Revenue]]-SALESTABLE[[#This Row],[COST]]</f>
        <v>1287.9000000000001</v>
      </c>
      <c r="J466">
        <f>SALESTABLE[[#This Row],[PROFIT]]/SALESTABLE[[#This Row],[Revenue]]*100</f>
        <v>35.560648314327523</v>
      </c>
    </row>
    <row r="467" spans="1:10" x14ac:dyDescent="0.35">
      <c r="A467" t="s">
        <v>600</v>
      </c>
      <c r="B467" s="4">
        <v>45491</v>
      </c>
      <c r="C467" t="s">
        <v>265</v>
      </c>
      <c r="D467" t="s">
        <v>113</v>
      </c>
      <c r="E467">
        <v>15</v>
      </c>
      <c r="F467">
        <v>20</v>
      </c>
      <c r="G467" cm="1">
        <f t="array" ref="G467">SALESTABLE[[#This Row],[Quantity]]*_xlfn.XLOOKUP(SALESTABLE[[#This Row],[Product_ID]],ProductsTable[Product_ID],ProductsTable[Unit_Price],WAASIU,0,1)</f>
        <v>5056.3499999999995</v>
      </c>
      <c r="H467" cm="1">
        <f t="array" ref="H467">SALESTABLE[[#This Row],[Quantity]]*_xlfn.XLOOKUP(SALESTABLE[[#This Row],[Product_ID]],ProductsTable[Product_ID],ProductsTable[Cost_Price],WAASIU,0,1)</f>
        <v>2796.15</v>
      </c>
      <c r="I467">
        <f>SALESTABLE[[#This Row],[Revenue]]-SALESTABLE[[#This Row],[COST]]</f>
        <v>2260.1999999999994</v>
      </c>
      <c r="J467">
        <f>SALESTABLE[[#This Row],[PROFIT]]/SALESTABLE[[#This Row],[Revenue]]*100</f>
        <v>44.700228425642997</v>
      </c>
    </row>
    <row r="468" spans="1:10" x14ac:dyDescent="0.35">
      <c r="A468" t="s">
        <v>601</v>
      </c>
      <c r="B468" s="4">
        <v>44963</v>
      </c>
      <c r="C468" t="s">
        <v>602</v>
      </c>
      <c r="D468" t="s">
        <v>22</v>
      </c>
      <c r="E468">
        <v>5</v>
      </c>
      <c r="F468">
        <v>0</v>
      </c>
      <c r="G468" cm="1">
        <f t="array" ref="G468">SALESTABLE[[#This Row],[Quantity]]*_xlfn.XLOOKUP(SALESTABLE[[#This Row],[Product_ID]],ProductsTable[Product_ID],ProductsTable[Unit_Price],WAASIU,0,1)</f>
        <v>2098.35</v>
      </c>
      <c r="H468" cm="1">
        <f t="array" ref="H468">SALESTABLE[[#This Row],[Quantity]]*_xlfn.XLOOKUP(SALESTABLE[[#This Row],[Product_ID]],ProductsTable[Product_ID],ProductsTable[Cost_Price],WAASIU,0,1)</f>
        <v>1067.0999999999999</v>
      </c>
      <c r="I468">
        <f>SALESTABLE[[#This Row],[Revenue]]-SALESTABLE[[#This Row],[COST]]</f>
        <v>1031.25</v>
      </c>
      <c r="J468">
        <f>SALESTABLE[[#This Row],[PROFIT]]/SALESTABLE[[#This Row],[Revenue]]*100</f>
        <v>49.145757380799196</v>
      </c>
    </row>
    <row r="469" spans="1:10" x14ac:dyDescent="0.35">
      <c r="A469" t="s">
        <v>603</v>
      </c>
      <c r="B469" s="4">
        <v>45244</v>
      </c>
      <c r="C469" t="s">
        <v>54</v>
      </c>
      <c r="D469" t="s">
        <v>137</v>
      </c>
      <c r="E469">
        <v>10</v>
      </c>
      <c r="F469">
        <v>10</v>
      </c>
      <c r="G469" cm="1">
        <f t="array" ref="G469">SALESTABLE[[#This Row],[Quantity]]*_xlfn.XLOOKUP(SALESTABLE[[#This Row],[Product_ID]],ProductsTable[Product_ID],ProductsTable[Unit_Price],WAASIU,0,1)</f>
        <v>3634.4</v>
      </c>
      <c r="H469" cm="1">
        <f t="array" ref="H469">SALESTABLE[[#This Row],[Quantity]]*_xlfn.XLOOKUP(SALESTABLE[[#This Row],[Product_ID]],ProductsTable[Product_ID],ProductsTable[Cost_Price],WAASIU,0,1)</f>
        <v>2500.5</v>
      </c>
      <c r="I469">
        <f>SALESTABLE[[#This Row],[Revenue]]-SALESTABLE[[#This Row],[COST]]</f>
        <v>1133.9000000000001</v>
      </c>
      <c r="J469">
        <f>SALESTABLE[[#This Row],[PROFIT]]/SALESTABLE[[#This Row],[Revenue]]*100</f>
        <v>31.199097512656838</v>
      </c>
    </row>
    <row r="470" spans="1:10" x14ac:dyDescent="0.35">
      <c r="A470" t="s">
        <v>604</v>
      </c>
      <c r="B470" s="4">
        <v>45525</v>
      </c>
      <c r="C470" t="s">
        <v>118</v>
      </c>
      <c r="D470" t="s">
        <v>137</v>
      </c>
      <c r="E470">
        <v>8</v>
      </c>
      <c r="F470">
        <v>15</v>
      </c>
      <c r="G470" cm="1">
        <f t="array" ref="G470">SALESTABLE[[#This Row],[Quantity]]*_xlfn.XLOOKUP(SALESTABLE[[#This Row],[Product_ID]],ProductsTable[Product_ID],ProductsTable[Unit_Price],WAASIU,0,1)</f>
        <v>2907.52</v>
      </c>
      <c r="H470" cm="1">
        <f t="array" ref="H470">SALESTABLE[[#This Row],[Quantity]]*_xlfn.XLOOKUP(SALESTABLE[[#This Row],[Product_ID]],ProductsTable[Product_ID],ProductsTable[Cost_Price],WAASIU,0,1)</f>
        <v>2000.4</v>
      </c>
      <c r="I470">
        <f>SALESTABLE[[#This Row],[Revenue]]-SALESTABLE[[#This Row],[COST]]</f>
        <v>907.11999999999989</v>
      </c>
      <c r="J470">
        <f>SALESTABLE[[#This Row],[PROFIT]]/SALESTABLE[[#This Row],[Revenue]]*100</f>
        <v>31.199097512656831</v>
      </c>
    </row>
    <row r="471" spans="1:10" x14ac:dyDescent="0.35">
      <c r="A471" t="s">
        <v>605</v>
      </c>
      <c r="B471" s="4">
        <v>45654</v>
      </c>
      <c r="C471" t="s">
        <v>90</v>
      </c>
      <c r="D471" t="s">
        <v>113</v>
      </c>
      <c r="E471">
        <v>16</v>
      </c>
      <c r="F471">
        <v>5</v>
      </c>
      <c r="G471" cm="1">
        <f t="array" ref="G471">SALESTABLE[[#This Row],[Quantity]]*_xlfn.XLOOKUP(SALESTABLE[[#This Row],[Product_ID]],ProductsTable[Product_ID],ProductsTable[Unit_Price],WAASIU,0,1)</f>
        <v>5393.44</v>
      </c>
      <c r="H471" cm="1">
        <f t="array" ref="H471">SALESTABLE[[#This Row],[Quantity]]*_xlfn.XLOOKUP(SALESTABLE[[#This Row],[Product_ID]],ProductsTable[Product_ID],ProductsTable[Cost_Price],WAASIU,0,1)</f>
        <v>2982.56</v>
      </c>
      <c r="I471">
        <f>SALESTABLE[[#This Row],[Revenue]]-SALESTABLE[[#This Row],[COST]]</f>
        <v>2410.8799999999997</v>
      </c>
      <c r="J471">
        <f>SALESTABLE[[#This Row],[PROFIT]]/SALESTABLE[[#This Row],[Revenue]]*100</f>
        <v>44.700228425643004</v>
      </c>
    </row>
    <row r="472" spans="1:10" x14ac:dyDescent="0.35">
      <c r="A472" t="s">
        <v>606</v>
      </c>
      <c r="B472" s="4">
        <v>44944</v>
      </c>
      <c r="C472" t="s">
        <v>36</v>
      </c>
      <c r="D472" t="s">
        <v>11</v>
      </c>
      <c r="E472">
        <v>4</v>
      </c>
      <c r="F472">
        <v>5</v>
      </c>
      <c r="G472" cm="1">
        <f t="array" ref="G472">SALESTABLE[[#This Row],[Quantity]]*_xlfn.XLOOKUP(SALESTABLE[[#This Row],[Product_ID]],ProductsTable[Product_ID],ProductsTable[Unit_Price],WAASIU,0,1)</f>
        <v>1909.08</v>
      </c>
      <c r="H472" cm="1">
        <f t="array" ref="H472">SALESTABLE[[#This Row],[Quantity]]*_xlfn.XLOOKUP(SALESTABLE[[#This Row],[Product_ID]],ProductsTable[Product_ID],ProductsTable[Cost_Price],WAASIU,0,1)</f>
        <v>1195.3599999999999</v>
      </c>
      <c r="I472">
        <f>SALESTABLE[[#This Row],[Revenue]]-SALESTABLE[[#This Row],[COST]]</f>
        <v>713.72</v>
      </c>
      <c r="J472">
        <f>SALESTABLE[[#This Row],[PROFIT]]/SALESTABLE[[#This Row],[Revenue]]*100</f>
        <v>37.385546965030279</v>
      </c>
    </row>
    <row r="473" spans="1:10" x14ac:dyDescent="0.35">
      <c r="A473" t="s">
        <v>607</v>
      </c>
      <c r="B473" s="4">
        <v>45330</v>
      </c>
      <c r="C473" t="s">
        <v>392</v>
      </c>
      <c r="D473" t="s">
        <v>110</v>
      </c>
      <c r="E473">
        <v>11</v>
      </c>
      <c r="F473">
        <v>5</v>
      </c>
      <c r="G473" cm="1">
        <f t="array" ref="G473">SALESTABLE[[#This Row],[Quantity]]*_xlfn.XLOOKUP(SALESTABLE[[#This Row],[Product_ID]],ProductsTable[Product_ID],ProductsTable[Unit_Price],WAASIU,0,1)</f>
        <v>5404.5199999999995</v>
      </c>
      <c r="H473" cm="1">
        <f t="array" ref="H473">SALESTABLE[[#This Row],[Quantity]]*_xlfn.XLOOKUP(SALESTABLE[[#This Row],[Product_ID]],ProductsTable[Product_ID],ProductsTable[Cost_Price],WAASIU,0,1)</f>
        <v>2949.21</v>
      </c>
      <c r="I473">
        <f>SALESTABLE[[#This Row],[Revenue]]-SALESTABLE[[#This Row],[COST]]</f>
        <v>2455.3099999999995</v>
      </c>
      <c r="J473">
        <f>SALESTABLE[[#This Row],[PROFIT]]/SALESTABLE[[#This Row],[Revenue]]*100</f>
        <v>45.430676544818041</v>
      </c>
    </row>
    <row r="474" spans="1:10" x14ac:dyDescent="0.35">
      <c r="A474" t="s">
        <v>608</v>
      </c>
      <c r="B474" s="4">
        <v>44961</v>
      </c>
      <c r="C474" t="s">
        <v>96</v>
      </c>
      <c r="D474" t="s">
        <v>44</v>
      </c>
      <c r="E474">
        <v>2</v>
      </c>
      <c r="F474">
        <v>0</v>
      </c>
      <c r="G474" cm="1">
        <f t="array" ref="G474">SALESTABLE[[#This Row],[Quantity]]*_xlfn.XLOOKUP(SALESTABLE[[#This Row],[Product_ID]],ProductsTable[Product_ID],ProductsTable[Unit_Price],WAASIU,0,1)</f>
        <v>268.38</v>
      </c>
      <c r="H474" cm="1">
        <f t="array" ref="H474">SALESTABLE[[#This Row],[Quantity]]*_xlfn.XLOOKUP(SALESTABLE[[#This Row],[Product_ID]],ProductsTable[Product_ID],ProductsTable[Cost_Price],WAASIU,0,1)</f>
        <v>166.64</v>
      </c>
      <c r="I474">
        <f>SALESTABLE[[#This Row],[Revenue]]-SALESTABLE[[#This Row],[COST]]</f>
        <v>101.74000000000001</v>
      </c>
      <c r="J474">
        <f>SALESTABLE[[#This Row],[PROFIT]]/SALESTABLE[[#This Row],[Revenue]]*100</f>
        <v>37.908935092033687</v>
      </c>
    </row>
    <row r="475" spans="1:10" x14ac:dyDescent="0.35">
      <c r="A475" t="s">
        <v>609</v>
      </c>
      <c r="B475" s="4">
        <v>45327</v>
      </c>
      <c r="C475" t="s">
        <v>179</v>
      </c>
      <c r="D475" t="s">
        <v>44</v>
      </c>
      <c r="E475">
        <v>15</v>
      </c>
      <c r="F475">
        <v>15</v>
      </c>
      <c r="G475" cm="1">
        <f t="array" ref="G475">SALESTABLE[[#This Row],[Quantity]]*_xlfn.XLOOKUP(SALESTABLE[[#This Row],[Product_ID]],ProductsTable[Product_ID],ProductsTable[Unit_Price],WAASIU,0,1)</f>
        <v>2012.85</v>
      </c>
      <c r="H475" cm="1">
        <f t="array" ref="H475">SALESTABLE[[#This Row],[Quantity]]*_xlfn.XLOOKUP(SALESTABLE[[#This Row],[Product_ID]],ProductsTable[Product_ID],ProductsTable[Cost_Price],WAASIU,0,1)</f>
        <v>1249.8</v>
      </c>
      <c r="I475">
        <f>SALESTABLE[[#This Row],[Revenue]]-SALESTABLE[[#This Row],[COST]]</f>
        <v>763.05</v>
      </c>
      <c r="J475">
        <f>SALESTABLE[[#This Row],[PROFIT]]/SALESTABLE[[#This Row],[Revenue]]*100</f>
        <v>37.908935092033687</v>
      </c>
    </row>
    <row r="476" spans="1:10" x14ac:dyDescent="0.35">
      <c r="A476" t="s">
        <v>610</v>
      </c>
      <c r="B476" s="4">
        <v>45601</v>
      </c>
      <c r="C476" t="s">
        <v>415</v>
      </c>
      <c r="D476" t="s">
        <v>25</v>
      </c>
      <c r="E476">
        <v>19</v>
      </c>
      <c r="F476">
        <v>10</v>
      </c>
      <c r="G476" cm="1">
        <f t="array" ref="G476">SALESTABLE[[#This Row],[Quantity]]*_xlfn.XLOOKUP(SALESTABLE[[#This Row],[Product_ID]],ProductsTable[Product_ID],ProductsTable[Unit_Price],WAASIU,0,1)</f>
        <v>3377.4399999999996</v>
      </c>
      <c r="H476" cm="1">
        <f t="array" ref="H476">SALESTABLE[[#This Row],[Quantity]]*_xlfn.XLOOKUP(SALESTABLE[[#This Row],[Product_ID]],ProductsTable[Product_ID],ProductsTable[Cost_Price],WAASIU,0,1)</f>
        <v>1745.7199999999998</v>
      </c>
      <c r="I476">
        <f>SALESTABLE[[#This Row],[Revenue]]-SALESTABLE[[#This Row],[COST]]</f>
        <v>1631.7199999999998</v>
      </c>
      <c r="J476">
        <f>SALESTABLE[[#This Row],[PROFIT]]/SALESTABLE[[#This Row],[Revenue]]*100</f>
        <v>48.312331233123309</v>
      </c>
    </row>
    <row r="477" spans="1:10" x14ac:dyDescent="0.35">
      <c r="A477" t="s">
        <v>611</v>
      </c>
      <c r="B477" s="4">
        <v>45329</v>
      </c>
      <c r="C477" t="s">
        <v>181</v>
      </c>
      <c r="D477" t="s">
        <v>49</v>
      </c>
      <c r="E477">
        <v>4</v>
      </c>
      <c r="F477">
        <v>20</v>
      </c>
      <c r="G477" cm="1">
        <f t="array" ref="G477">SALESTABLE[[#This Row],[Quantity]]*_xlfn.XLOOKUP(SALESTABLE[[#This Row],[Product_ID]],ProductsTable[Product_ID],ProductsTable[Unit_Price],WAASIU,0,1)</f>
        <v>918.52</v>
      </c>
      <c r="H477" cm="1">
        <f t="array" ref="H477">SALESTABLE[[#This Row],[Quantity]]*_xlfn.XLOOKUP(SALESTABLE[[#This Row],[Product_ID]],ProductsTable[Product_ID],ProductsTable[Cost_Price],WAASIU,0,1)</f>
        <v>525.67999999999995</v>
      </c>
      <c r="I477">
        <f>SALESTABLE[[#This Row],[Revenue]]-SALESTABLE[[#This Row],[COST]]</f>
        <v>392.84000000000003</v>
      </c>
      <c r="J477">
        <f>SALESTABLE[[#This Row],[PROFIT]]/SALESTABLE[[#This Row],[Revenue]]*100</f>
        <v>42.76880198580325</v>
      </c>
    </row>
    <row r="478" spans="1:10" x14ac:dyDescent="0.35">
      <c r="A478" t="s">
        <v>612</v>
      </c>
      <c r="B478" s="4">
        <v>45206</v>
      </c>
      <c r="C478" t="s">
        <v>159</v>
      </c>
      <c r="D478" t="s">
        <v>77</v>
      </c>
      <c r="E478">
        <v>18</v>
      </c>
      <c r="F478">
        <v>10</v>
      </c>
      <c r="G478" cm="1">
        <f t="array" ref="G478">SALESTABLE[[#This Row],[Quantity]]*_xlfn.XLOOKUP(SALESTABLE[[#This Row],[Product_ID]],ProductsTable[Product_ID],ProductsTable[Unit_Price],WAASIU,0,1)</f>
        <v>1652.3999999999999</v>
      </c>
      <c r="H478" cm="1">
        <f t="array" ref="H478">SALESTABLE[[#This Row],[Quantity]]*_xlfn.XLOOKUP(SALESTABLE[[#This Row],[Product_ID]],ProductsTable[Product_ID],ProductsTable[Cost_Price],WAASIU,0,1)</f>
        <v>881.46</v>
      </c>
      <c r="I478">
        <f>SALESTABLE[[#This Row],[Revenue]]-SALESTABLE[[#This Row],[COST]]</f>
        <v>770.93999999999983</v>
      </c>
      <c r="J478">
        <f>SALESTABLE[[#This Row],[PROFIT]]/SALESTABLE[[#This Row],[Revenue]]*100</f>
        <v>46.655773420479299</v>
      </c>
    </row>
    <row r="479" spans="1:10" x14ac:dyDescent="0.35">
      <c r="A479" t="s">
        <v>613</v>
      </c>
      <c r="B479" s="4">
        <v>45245</v>
      </c>
      <c r="C479" t="s">
        <v>265</v>
      </c>
      <c r="D479" t="s">
        <v>52</v>
      </c>
      <c r="E479">
        <v>15</v>
      </c>
      <c r="F479">
        <v>0</v>
      </c>
      <c r="G479" cm="1">
        <f t="array" ref="G479">SALESTABLE[[#This Row],[Quantity]]*_xlfn.XLOOKUP(SALESTABLE[[#This Row],[Product_ID]],ProductsTable[Product_ID],ProductsTable[Unit_Price],WAASIU,0,1)</f>
        <v>2756.7</v>
      </c>
      <c r="H479" cm="1">
        <f t="array" ref="H479">SALESTABLE[[#This Row],[Quantity]]*_xlfn.XLOOKUP(SALESTABLE[[#This Row],[Product_ID]],ProductsTable[Product_ID],ProductsTable[Cost_Price],WAASIU,0,1)</f>
        <v>1734.4499999999998</v>
      </c>
      <c r="I479">
        <f>SALESTABLE[[#This Row],[Revenue]]-SALESTABLE[[#This Row],[COST]]</f>
        <v>1022.25</v>
      </c>
      <c r="J479">
        <f>SALESTABLE[[#This Row],[PROFIT]]/SALESTABLE[[#This Row],[Revenue]]*100</f>
        <v>37.082381107846338</v>
      </c>
    </row>
    <row r="480" spans="1:10" x14ac:dyDescent="0.35">
      <c r="A480" t="s">
        <v>614</v>
      </c>
      <c r="B480" s="4">
        <v>45412</v>
      </c>
      <c r="C480" t="s">
        <v>245</v>
      </c>
      <c r="D480" t="s">
        <v>52</v>
      </c>
      <c r="E480">
        <v>17</v>
      </c>
      <c r="F480">
        <v>10</v>
      </c>
      <c r="G480" cm="1">
        <f t="array" ref="G480">SALESTABLE[[#This Row],[Quantity]]*_xlfn.XLOOKUP(SALESTABLE[[#This Row],[Product_ID]],ProductsTable[Product_ID],ProductsTable[Unit_Price],WAASIU,0,1)</f>
        <v>3124.26</v>
      </c>
      <c r="H480" cm="1">
        <f t="array" ref="H480">SALESTABLE[[#This Row],[Quantity]]*_xlfn.XLOOKUP(SALESTABLE[[#This Row],[Product_ID]],ProductsTable[Product_ID],ProductsTable[Cost_Price],WAASIU,0,1)</f>
        <v>1965.71</v>
      </c>
      <c r="I480">
        <f>SALESTABLE[[#This Row],[Revenue]]-SALESTABLE[[#This Row],[COST]]</f>
        <v>1158.5500000000002</v>
      </c>
      <c r="J480">
        <f>SALESTABLE[[#This Row],[PROFIT]]/SALESTABLE[[#This Row],[Revenue]]*100</f>
        <v>37.082381107846338</v>
      </c>
    </row>
    <row r="481" spans="1:10" x14ac:dyDescent="0.35">
      <c r="A481" t="s">
        <v>615</v>
      </c>
      <c r="B481" s="4">
        <v>45054</v>
      </c>
      <c r="C481" t="s">
        <v>187</v>
      </c>
      <c r="D481" t="s">
        <v>100</v>
      </c>
      <c r="E481">
        <v>17</v>
      </c>
      <c r="F481">
        <v>20</v>
      </c>
      <c r="G481" cm="1">
        <f t="array" ref="G481">SALESTABLE[[#This Row],[Quantity]]*_xlfn.XLOOKUP(SALESTABLE[[#This Row],[Product_ID]],ProductsTable[Product_ID],ProductsTable[Unit_Price],WAASIU,0,1)</f>
        <v>6958.44</v>
      </c>
      <c r="H481" cm="1">
        <f t="array" ref="H481">SALESTABLE[[#This Row],[Quantity]]*_xlfn.XLOOKUP(SALESTABLE[[#This Row],[Product_ID]],ProductsTable[Product_ID],ProductsTable[Cost_Price],WAASIU,0,1)</f>
        <v>3615.05</v>
      </c>
      <c r="I481">
        <f>SALESTABLE[[#This Row],[Revenue]]-SALESTABLE[[#This Row],[COST]]</f>
        <v>3343.3899999999994</v>
      </c>
      <c r="J481">
        <f>SALESTABLE[[#This Row],[PROFIT]]/SALESTABLE[[#This Row],[Revenue]]*100</f>
        <v>48.047982018958265</v>
      </c>
    </row>
    <row r="482" spans="1:10" x14ac:dyDescent="0.35">
      <c r="A482" t="s">
        <v>616</v>
      </c>
      <c r="B482" s="4">
        <v>45508</v>
      </c>
      <c r="C482" t="s">
        <v>251</v>
      </c>
      <c r="D482" t="s">
        <v>77</v>
      </c>
      <c r="E482">
        <v>7</v>
      </c>
      <c r="F482">
        <v>0</v>
      </c>
      <c r="G482" cm="1">
        <f t="array" ref="G482">SALESTABLE[[#This Row],[Quantity]]*_xlfn.XLOOKUP(SALESTABLE[[#This Row],[Product_ID]],ProductsTable[Product_ID],ProductsTable[Unit_Price],WAASIU,0,1)</f>
        <v>642.6</v>
      </c>
      <c r="H482" cm="1">
        <f t="array" ref="H482">SALESTABLE[[#This Row],[Quantity]]*_xlfn.XLOOKUP(SALESTABLE[[#This Row],[Product_ID]],ProductsTable[Product_ID],ProductsTable[Cost_Price],WAASIU,0,1)</f>
        <v>342.78999999999996</v>
      </c>
      <c r="I482">
        <f>SALESTABLE[[#This Row],[Revenue]]-SALESTABLE[[#This Row],[COST]]</f>
        <v>299.81000000000006</v>
      </c>
      <c r="J482">
        <f>SALESTABLE[[#This Row],[PROFIT]]/SALESTABLE[[#This Row],[Revenue]]*100</f>
        <v>46.655773420479314</v>
      </c>
    </row>
    <row r="483" spans="1:10" x14ac:dyDescent="0.35">
      <c r="A483" t="s">
        <v>617</v>
      </c>
      <c r="B483" s="4">
        <v>45645</v>
      </c>
      <c r="C483" t="s">
        <v>356</v>
      </c>
      <c r="D483" t="s">
        <v>49</v>
      </c>
      <c r="E483">
        <v>7</v>
      </c>
      <c r="F483">
        <v>20</v>
      </c>
      <c r="G483" cm="1">
        <f t="array" ref="G483">SALESTABLE[[#This Row],[Quantity]]*_xlfn.XLOOKUP(SALESTABLE[[#This Row],[Product_ID]],ProductsTable[Product_ID],ProductsTable[Unit_Price],WAASIU,0,1)</f>
        <v>1607.4099999999999</v>
      </c>
      <c r="H483" cm="1">
        <f t="array" ref="H483">SALESTABLE[[#This Row],[Quantity]]*_xlfn.XLOOKUP(SALESTABLE[[#This Row],[Product_ID]],ProductsTable[Product_ID],ProductsTable[Cost_Price],WAASIU,0,1)</f>
        <v>919.93999999999994</v>
      </c>
      <c r="I483">
        <f>SALESTABLE[[#This Row],[Revenue]]-SALESTABLE[[#This Row],[COST]]</f>
        <v>687.46999999999991</v>
      </c>
      <c r="J483">
        <f>SALESTABLE[[#This Row],[PROFIT]]/SALESTABLE[[#This Row],[Revenue]]*100</f>
        <v>42.768801985803243</v>
      </c>
    </row>
    <row r="484" spans="1:10" x14ac:dyDescent="0.35">
      <c r="A484" t="s">
        <v>618</v>
      </c>
      <c r="B484" s="4">
        <v>45062</v>
      </c>
      <c r="C484" t="s">
        <v>161</v>
      </c>
      <c r="D484" t="s">
        <v>127</v>
      </c>
      <c r="E484">
        <v>18</v>
      </c>
      <c r="F484">
        <v>15</v>
      </c>
      <c r="G484" cm="1">
        <f t="array" ref="G484">SALESTABLE[[#This Row],[Quantity]]*_xlfn.XLOOKUP(SALESTABLE[[#This Row],[Product_ID]],ProductsTable[Product_ID],ProductsTable[Unit_Price],WAASIU,0,1)</f>
        <v>1657.2599999999998</v>
      </c>
      <c r="H484" cm="1">
        <f t="array" ref="H484">SALESTABLE[[#This Row],[Quantity]]*_xlfn.XLOOKUP(SALESTABLE[[#This Row],[Product_ID]],ProductsTable[Product_ID],ProductsTable[Cost_Price],WAASIU,0,1)</f>
        <v>1014.48</v>
      </c>
      <c r="I484">
        <f>SALESTABLE[[#This Row],[Revenue]]-SALESTABLE[[#This Row],[COST]]</f>
        <v>642.77999999999975</v>
      </c>
      <c r="J484">
        <f>SALESTABLE[[#This Row],[PROFIT]]/SALESTABLE[[#This Row],[Revenue]]*100</f>
        <v>38.785706527641999</v>
      </c>
    </row>
    <row r="485" spans="1:10" x14ac:dyDescent="0.35">
      <c r="A485" t="s">
        <v>619</v>
      </c>
      <c r="B485" s="4">
        <v>44993</v>
      </c>
      <c r="C485" t="s">
        <v>112</v>
      </c>
      <c r="D485" t="s">
        <v>137</v>
      </c>
      <c r="E485">
        <v>12</v>
      </c>
      <c r="F485">
        <v>5</v>
      </c>
      <c r="G485" cm="1">
        <f t="array" ref="G485">SALESTABLE[[#This Row],[Quantity]]*_xlfn.XLOOKUP(SALESTABLE[[#This Row],[Product_ID]],ProductsTable[Product_ID],ProductsTable[Unit_Price],WAASIU,0,1)</f>
        <v>4361.28</v>
      </c>
      <c r="H485" cm="1">
        <f t="array" ref="H485">SALESTABLE[[#This Row],[Quantity]]*_xlfn.XLOOKUP(SALESTABLE[[#This Row],[Product_ID]],ProductsTable[Product_ID],ProductsTable[Cost_Price],WAASIU,0,1)</f>
        <v>3000.6000000000004</v>
      </c>
      <c r="I485">
        <f>SALESTABLE[[#This Row],[Revenue]]-SALESTABLE[[#This Row],[COST]]</f>
        <v>1360.6799999999994</v>
      </c>
      <c r="J485">
        <f>SALESTABLE[[#This Row],[PROFIT]]/SALESTABLE[[#This Row],[Revenue]]*100</f>
        <v>31.19909751265682</v>
      </c>
    </row>
    <row r="486" spans="1:10" x14ac:dyDescent="0.35">
      <c r="A486" t="s">
        <v>620</v>
      </c>
      <c r="B486" s="4">
        <v>45599</v>
      </c>
      <c r="C486" t="s">
        <v>24</v>
      </c>
      <c r="D486" t="s">
        <v>25</v>
      </c>
      <c r="E486">
        <v>17</v>
      </c>
      <c r="F486">
        <v>15</v>
      </c>
      <c r="G486" cm="1">
        <f t="array" ref="G486">SALESTABLE[[#This Row],[Quantity]]*_xlfn.XLOOKUP(SALESTABLE[[#This Row],[Product_ID]],ProductsTable[Product_ID],ProductsTable[Unit_Price],WAASIU,0,1)</f>
        <v>3021.92</v>
      </c>
      <c r="H486" cm="1">
        <f t="array" ref="H486">SALESTABLE[[#This Row],[Quantity]]*_xlfn.XLOOKUP(SALESTABLE[[#This Row],[Product_ID]],ProductsTable[Product_ID],ProductsTable[Cost_Price],WAASIU,0,1)</f>
        <v>1561.96</v>
      </c>
      <c r="I486">
        <f>SALESTABLE[[#This Row],[Revenue]]-SALESTABLE[[#This Row],[COST]]</f>
        <v>1459.96</v>
      </c>
      <c r="J486">
        <f>SALESTABLE[[#This Row],[PROFIT]]/SALESTABLE[[#This Row],[Revenue]]*100</f>
        <v>48.312331233123309</v>
      </c>
    </row>
    <row r="487" spans="1:10" x14ac:dyDescent="0.35">
      <c r="A487" t="s">
        <v>621</v>
      </c>
      <c r="B487" s="4">
        <v>45278</v>
      </c>
      <c r="C487" t="s">
        <v>144</v>
      </c>
      <c r="D487" t="s">
        <v>34</v>
      </c>
      <c r="E487">
        <v>7</v>
      </c>
      <c r="F487">
        <v>0</v>
      </c>
      <c r="G487" cm="1">
        <f t="array" ref="G487">SALESTABLE[[#This Row],[Quantity]]*_xlfn.XLOOKUP(SALESTABLE[[#This Row],[Product_ID]],ProductsTable[Product_ID],ProductsTable[Unit_Price],WAASIU,0,1)</f>
        <v>2301.25</v>
      </c>
      <c r="H487" cm="1">
        <f t="array" ref="H487">SALESTABLE[[#This Row],[Quantity]]*_xlfn.XLOOKUP(SALESTABLE[[#This Row],[Product_ID]],ProductsTable[Product_ID],ProductsTable[Cost_Price],WAASIU,0,1)</f>
        <v>1632.26</v>
      </c>
      <c r="I487">
        <f>SALESTABLE[[#This Row],[Revenue]]-SALESTABLE[[#This Row],[COST]]</f>
        <v>668.99</v>
      </c>
      <c r="J487">
        <f>SALESTABLE[[#This Row],[PROFIT]]/SALESTABLE[[#This Row],[Revenue]]*100</f>
        <v>29.070722433460077</v>
      </c>
    </row>
    <row r="488" spans="1:10" x14ac:dyDescent="0.35">
      <c r="A488" t="s">
        <v>622</v>
      </c>
      <c r="B488" s="4">
        <v>45368</v>
      </c>
      <c r="C488" t="s">
        <v>61</v>
      </c>
      <c r="D488" t="s">
        <v>28</v>
      </c>
      <c r="E488">
        <v>9</v>
      </c>
      <c r="F488">
        <v>5</v>
      </c>
      <c r="G488" cm="1">
        <f t="array" ref="G488">SALESTABLE[[#This Row],[Quantity]]*_xlfn.XLOOKUP(SALESTABLE[[#This Row],[Product_ID]],ProductsTable[Product_ID],ProductsTable[Unit_Price],WAASIU,0,1)</f>
        <v>3829.32</v>
      </c>
      <c r="H488" cm="1">
        <f t="array" ref="H488">SALESTABLE[[#This Row],[Quantity]]*_xlfn.XLOOKUP(SALESTABLE[[#This Row],[Product_ID]],ProductsTable[Product_ID],ProductsTable[Cost_Price],WAASIU,0,1)</f>
        <v>2101.3199999999997</v>
      </c>
      <c r="I488">
        <f>SALESTABLE[[#This Row],[Revenue]]-SALESTABLE[[#This Row],[COST]]</f>
        <v>1728.0000000000005</v>
      </c>
      <c r="J488">
        <f>SALESTABLE[[#This Row],[PROFIT]]/SALESTABLE[[#This Row],[Revenue]]*100</f>
        <v>45.125505311648027</v>
      </c>
    </row>
    <row r="489" spans="1:10" x14ac:dyDescent="0.35">
      <c r="A489" t="s">
        <v>623</v>
      </c>
      <c r="B489" s="4">
        <v>45537</v>
      </c>
      <c r="C489" t="s">
        <v>251</v>
      </c>
      <c r="D489" t="s">
        <v>49</v>
      </c>
      <c r="E489">
        <v>2</v>
      </c>
      <c r="F489">
        <v>10</v>
      </c>
      <c r="G489" cm="1">
        <f t="array" ref="G489">SALESTABLE[[#This Row],[Quantity]]*_xlfn.XLOOKUP(SALESTABLE[[#This Row],[Product_ID]],ProductsTable[Product_ID],ProductsTable[Unit_Price],WAASIU,0,1)</f>
        <v>459.26</v>
      </c>
      <c r="H489" cm="1">
        <f t="array" ref="H489">SALESTABLE[[#This Row],[Quantity]]*_xlfn.XLOOKUP(SALESTABLE[[#This Row],[Product_ID]],ProductsTable[Product_ID],ProductsTable[Cost_Price],WAASIU,0,1)</f>
        <v>262.83999999999997</v>
      </c>
      <c r="I489">
        <f>SALESTABLE[[#This Row],[Revenue]]-SALESTABLE[[#This Row],[COST]]</f>
        <v>196.42000000000002</v>
      </c>
      <c r="J489">
        <f>SALESTABLE[[#This Row],[PROFIT]]/SALESTABLE[[#This Row],[Revenue]]*100</f>
        <v>42.76880198580325</v>
      </c>
    </row>
    <row r="490" spans="1:10" x14ac:dyDescent="0.35">
      <c r="A490" t="s">
        <v>624</v>
      </c>
      <c r="B490" s="4">
        <v>45009</v>
      </c>
      <c r="C490" t="s">
        <v>292</v>
      </c>
      <c r="D490" t="s">
        <v>57</v>
      </c>
      <c r="E490">
        <v>1</v>
      </c>
      <c r="F490">
        <v>20</v>
      </c>
      <c r="G490" cm="1">
        <f t="array" ref="G490">SALESTABLE[[#This Row],[Quantity]]*_xlfn.XLOOKUP(SALESTABLE[[#This Row],[Product_ID]],ProductsTable[Product_ID],ProductsTable[Unit_Price],WAASIU,0,1)</f>
        <v>158.83000000000001</v>
      </c>
      <c r="H490" cm="1">
        <f t="array" ref="H490">SALESTABLE[[#This Row],[Quantity]]*_xlfn.XLOOKUP(SALESTABLE[[#This Row],[Product_ID]],ProductsTable[Product_ID],ProductsTable[Cost_Price],WAASIU,0,1)</f>
        <v>126.94</v>
      </c>
      <c r="I490">
        <f>SALESTABLE[[#This Row],[Revenue]]-SALESTABLE[[#This Row],[COST]]</f>
        <v>31.890000000000015</v>
      </c>
      <c r="J490">
        <f>SALESTABLE[[#This Row],[PROFIT]]/SALESTABLE[[#This Row],[Revenue]]*100</f>
        <v>20.078070893408054</v>
      </c>
    </row>
    <row r="491" spans="1:10" x14ac:dyDescent="0.35">
      <c r="A491" t="s">
        <v>625</v>
      </c>
      <c r="B491" s="4">
        <v>45437</v>
      </c>
      <c r="C491" t="s">
        <v>43</v>
      </c>
      <c r="D491" t="s">
        <v>13</v>
      </c>
      <c r="E491">
        <v>20</v>
      </c>
      <c r="F491">
        <v>10</v>
      </c>
      <c r="G491" cm="1">
        <f t="array" ref="G491">SALESTABLE[[#This Row],[Quantity]]*_xlfn.XLOOKUP(SALESTABLE[[#This Row],[Product_ID]],ProductsTable[Product_ID],ProductsTable[Unit_Price],WAASIU,0,1)</f>
        <v>8703.6</v>
      </c>
      <c r="H491" cm="1">
        <f t="array" ref="H491">SALESTABLE[[#This Row],[Quantity]]*_xlfn.XLOOKUP(SALESTABLE[[#This Row],[Product_ID]],ProductsTable[Product_ID],ProductsTable[Cost_Price],WAASIU,0,1)</f>
        <v>4619</v>
      </c>
      <c r="I491">
        <f>SALESTABLE[[#This Row],[Revenue]]-SALESTABLE[[#This Row],[COST]]</f>
        <v>4084.6000000000004</v>
      </c>
      <c r="J491">
        <f>SALESTABLE[[#This Row],[PROFIT]]/SALESTABLE[[#This Row],[Revenue]]*100</f>
        <v>46.930005974539277</v>
      </c>
    </row>
    <row r="492" spans="1:10" x14ac:dyDescent="0.35">
      <c r="A492" t="s">
        <v>626</v>
      </c>
      <c r="B492" s="4">
        <v>45089</v>
      </c>
      <c r="C492" t="s">
        <v>88</v>
      </c>
      <c r="D492" t="s">
        <v>248</v>
      </c>
      <c r="E492">
        <v>10</v>
      </c>
      <c r="F492">
        <v>10</v>
      </c>
      <c r="G492" cm="1">
        <f t="array" ref="G492">SALESTABLE[[#This Row],[Quantity]]*_xlfn.XLOOKUP(SALESTABLE[[#This Row],[Product_ID]],ProductsTable[Product_ID],ProductsTable[Unit_Price],WAASIU,0,1)</f>
        <v>1867.1000000000001</v>
      </c>
      <c r="H492" cm="1">
        <f t="array" ref="H492">SALESTABLE[[#This Row],[Quantity]]*_xlfn.XLOOKUP(SALESTABLE[[#This Row],[Product_ID]],ProductsTable[Product_ID],ProductsTable[Cost_Price],WAASIU,0,1)</f>
        <v>1251.9000000000001</v>
      </c>
      <c r="I492">
        <f>SALESTABLE[[#This Row],[Revenue]]-SALESTABLE[[#This Row],[COST]]</f>
        <v>615.20000000000005</v>
      </c>
      <c r="J492">
        <f>SALESTABLE[[#This Row],[PROFIT]]/SALESTABLE[[#This Row],[Revenue]]*100</f>
        <v>32.949493867495043</v>
      </c>
    </row>
    <row r="493" spans="1:10" x14ac:dyDescent="0.35">
      <c r="A493" t="s">
        <v>627</v>
      </c>
      <c r="B493" s="4">
        <v>45343</v>
      </c>
      <c r="C493" t="s">
        <v>297</v>
      </c>
      <c r="D493" t="s">
        <v>133</v>
      </c>
      <c r="E493">
        <v>5</v>
      </c>
      <c r="F493">
        <v>0</v>
      </c>
      <c r="G493" cm="1">
        <f t="array" ref="G493">SALESTABLE[[#This Row],[Quantity]]*_xlfn.XLOOKUP(SALESTABLE[[#This Row],[Product_ID]],ProductsTable[Product_ID],ProductsTable[Unit_Price],WAASIU,0,1)</f>
        <v>1755</v>
      </c>
      <c r="H493" cm="1">
        <f t="array" ref="H493">SALESTABLE[[#This Row],[Quantity]]*_xlfn.XLOOKUP(SALESTABLE[[#This Row],[Product_ID]],ProductsTable[Product_ID],ProductsTable[Cost_Price],WAASIU,0,1)</f>
        <v>1168.1500000000001</v>
      </c>
      <c r="I493">
        <f>SALESTABLE[[#This Row],[Revenue]]-SALESTABLE[[#This Row],[COST]]</f>
        <v>586.84999999999991</v>
      </c>
      <c r="J493">
        <f>SALESTABLE[[#This Row],[PROFIT]]/SALESTABLE[[#This Row],[Revenue]]*100</f>
        <v>33.438746438746435</v>
      </c>
    </row>
    <row r="494" spans="1:10" x14ac:dyDescent="0.35">
      <c r="A494" t="s">
        <v>628</v>
      </c>
      <c r="B494" s="4">
        <v>45444</v>
      </c>
      <c r="C494" t="s">
        <v>99</v>
      </c>
      <c r="D494" t="s">
        <v>34</v>
      </c>
      <c r="E494">
        <v>19</v>
      </c>
      <c r="F494">
        <v>5</v>
      </c>
      <c r="G494" cm="1">
        <f t="array" ref="G494">SALESTABLE[[#This Row],[Quantity]]*_xlfn.XLOOKUP(SALESTABLE[[#This Row],[Product_ID]],ProductsTable[Product_ID],ProductsTable[Unit_Price],WAASIU,0,1)</f>
        <v>6246.25</v>
      </c>
      <c r="H494" cm="1">
        <f t="array" ref="H494">SALESTABLE[[#This Row],[Quantity]]*_xlfn.XLOOKUP(SALESTABLE[[#This Row],[Product_ID]],ProductsTable[Product_ID],ProductsTable[Cost_Price],WAASIU,0,1)</f>
        <v>4430.42</v>
      </c>
      <c r="I494">
        <f>SALESTABLE[[#This Row],[Revenue]]-SALESTABLE[[#This Row],[COST]]</f>
        <v>1815.83</v>
      </c>
      <c r="J494">
        <f>SALESTABLE[[#This Row],[PROFIT]]/SALESTABLE[[#This Row],[Revenue]]*100</f>
        <v>29.070722433460073</v>
      </c>
    </row>
    <row r="495" spans="1:10" x14ac:dyDescent="0.35">
      <c r="A495" t="s">
        <v>629</v>
      </c>
      <c r="B495" s="4">
        <v>45237</v>
      </c>
      <c r="C495" t="s">
        <v>79</v>
      </c>
      <c r="D495" t="s">
        <v>57</v>
      </c>
      <c r="E495">
        <v>5</v>
      </c>
      <c r="F495">
        <v>15</v>
      </c>
      <c r="G495" cm="1">
        <f t="array" ref="G495">SALESTABLE[[#This Row],[Quantity]]*_xlfn.XLOOKUP(SALESTABLE[[#This Row],[Product_ID]],ProductsTable[Product_ID],ProductsTable[Unit_Price],WAASIU,0,1)</f>
        <v>794.15000000000009</v>
      </c>
      <c r="H495" cm="1">
        <f t="array" ref="H495">SALESTABLE[[#This Row],[Quantity]]*_xlfn.XLOOKUP(SALESTABLE[[#This Row],[Product_ID]],ProductsTable[Product_ID],ProductsTable[Cost_Price],WAASIU,0,1)</f>
        <v>634.70000000000005</v>
      </c>
      <c r="I495">
        <f>SALESTABLE[[#This Row],[Revenue]]-SALESTABLE[[#This Row],[COST]]</f>
        <v>159.45000000000005</v>
      </c>
      <c r="J495">
        <f>SALESTABLE[[#This Row],[PROFIT]]/SALESTABLE[[#This Row],[Revenue]]*100</f>
        <v>20.07807089340805</v>
      </c>
    </row>
    <row r="496" spans="1:10" x14ac:dyDescent="0.35">
      <c r="A496" t="s">
        <v>630</v>
      </c>
      <c r="B496" s="4">
        <v>45416</v>
      </c>
      <c r="C496" t="s">
        <v>181</v>
      </c>
      <c r="D496" t="s">
        <v>74</v>
      </c>
      <c r="E496">
        <v>9</v>
      </c>
      <c r="F496">
        <v>5</v>
      </c>
      <c r="G496" cm="1">
        <f t="array" ref="G496">SALESTABLE[[#This Row],[Quantity]]*_xlfn.XLOOKUP(SALESTABLE[[#This Row],[Product_ID]],ProductsTable[Product_ID],ProductsTable[Unit_Price],WAASIU,0,1)</f>
        <v>387</v>
      </c>
      <c r="H496" cm="1">
        <f t="array" ref="H496">SALESTABLE[[#This Row],[Quantity]]*_xlfn.XLOOKUP(SALESTABLE[[#This Row],[Product_ID]],ProductsTable[Product_ID],ProductsTable[Cost_Price],WAASIU,0,1)</f>
        <v>270.45</v>
      </c>
      <c r="I496">
        <f>SALESTABLE[[#This Row],[Revenue]]-SALESTABLE[[#This Row],[COST]]</f>
        <v>116.55000000000001</v>
      </c>
      <c r="J496">
        <f>SALESTABLE[[#This Row],[PROFIT]]/SALESTABLE[[#This Row],[Revenue]]*100</f>
        <v>30.116279069767444</v>
      </c>
    </row>
    <row r="497" spans="1:10" x14ac:dyDescent="0.35">
      <c r="A497" t="s">
        <v>631</v>
      </c>
      <c r="B497" s="4">
        <v>45322</v>
      </c>
      <c r="C497" t="s">
        <v>159</v>
      </c>
      <c r="D497" t="s">
        <v>97</v>
      </c>
      <c r="E497">
        <v>12</v>
      </c>
      <c r="F497">
        <v>5</v>
      </c>
      <c r="G497" cm="1">
        <f t="array" ref="G497">SALESTABLE[[#This Row],[Quantity]]*_xlfn.XLOOKUP(SALESTABLE[[#This Row],[Product_ID]],ProductsTable[Product_ID],ProductsTable[Unit_Price],WAASIU,0,1)</f>
        <v>3722.5199999999995</v>
      </c>
      <c r="H497" cm="1">
        <f t="array" ref="H497">SALESTABLE[[#This Row],[Quantity]]*_xlfn.XLOOKUP(SALESTABLE[[#This Row],[Product_ID]],ProductsTable[Product_ID],ProductsTable[Cost_Price],WAASIU,0,1)</f>
        <v>2703.48</v>
      </c>
      <c r="I497">
        <f>SALESTABLE[[#This Row],[Revenue]]-SALESTABLE[[#This Row],[COST]]</f>
        <v>1019.0399999999995</v>
      </c>
      <c r="J497">
        <f>SALESTABLE[[#This Row],[PROFIT]]/SALESTABLE[[#This Row],[Revenue]]*100</f>
        <v>27.375004029528377</v>
      </c>
    </row>
    <row r="498" spans="1:10" x14ac:dyDescent="0.35">
      <c r="A498" t="s">
        <v>632</v>
      </c>
      <c r="B498" s="4">
        <v>45372</v>
      </c>
      <c r="C498" t="s">
        <v>289</v>
      </c>
      <c r="D498" t="s">
        <v>41</v>
      </c>
      <c r="E498">
        <v>14</v>
      </c>
      <c r="F498">
        <v>10</v>
      </c>
      <c r="G498" cm="1">
        <f t="array" ref="G498">SALESTABLE[[#This Row],[Quantity]]*_xlfn.XLOOKUP(SALESTABLE[[#This Row],[Product_ID]],ProductsTable[Product_ID],ProductsTable[Unit_Price],WAASIU,0,1)</f>
        <v>5960.5</v>
      </c>
      <c r="H498" cm="1">
        <f t="array" ref="H498">SALESTABLE[[#This Row],[Quantity]]*_xlfn.XLOOKUP(SALESTABLE[[#This Row],[Product_ID]],ProductsTable[Product_ID],ProductsTable[Cost_Price],WAASIU,0,1)</f>
        <v>3403.8199999999997</v>
      </c>
      <c r="I498">
        <f>SALESTABLE[[#This Row],[Revenue]]-SALESTABLE[[#This Row],[COST]]</f>
        <v>2556.6800000000003</v>
      </c>
      <c r="J498">
        <f>SALESTABLE[[#This Row],[PROFIT]]/SALESTABLE[[#This Row],[Revenue]]*100</f>
        <v>42.89371697005285</v>
      </c>
    </row>
    <row r="499" spans="1:10" x14ac:dyDescent="0.35">
      <c r="A499" t="s">
        <v>633</v>
      </c>
      <c r="B499" s="4">
        <v>45589</v>
      </c>
      <c r="C499" t="s">
        <v>193</v>
      </c>
      <c r="D499" t="s">
        <v>93</v>
      </c>
      <c r="E499">
        <v>10</v>
      </c>
      <c r="F499">
        <v>20</v>
      </c>
      <c r="G499" cm="1">
        <f t="array" ref="G499">SALESTABLE[[#This Row],[Quantity]]*_xlfn.XLOOKUP(SALESTABLE[[#This Row],[Product_ID]],ProductsTable[Product_ID],ProductsTable[Unit_Price],WAASIU,0,1)</f>
        <v>2140.3000000000002</v>
      </c>
      <c r="H499" cm="1">
        <f t="array" ref="H499">SALESTABLE[[#This Row],[Quantity]]*_xlfn.XLOOKUP(SALESTABLE[[#This Row],[Product_ID]],ProductsTable[Product_ID],ProductsTable[Cost_Price],WAASIU,0,1)</f>
        <v>1567.1000000000001</v>
      </c>
      <c r="I499">
        <f>SALESTABLE[[#This Row],[Revenue]]-SALESTABLE[[#This Row],[COST]]</f>
        <v>573.20000000000005</v>
      </c>
      <c r="J499">
        <f>SALESTABLE[[#This Row],[PROFIT]]/SALESTABLE[[#This Row],[Revenue]]*100</f>
        <v>26.781292342195016</v>
      </c>
    </row>
    <row r="500" spans="1:10" x14ac:dyDescent="0.35">
      <c r="A500" t="s">
        <v>634</v>
      </c>
      <c r="B500" s="4">
        <v>45047</v>
      </c>
      <c r="C500" t="s">
        <v>270</v>
      </c>
      <c r="D500" t="s">
        <v>93</v>
      </c>
      <c r="E500">
        <v>8</v>
      </c>
      <c r="F500">
        <v>5</v>
      </c>
      <c r="G500" cm="1">
        <f t="array" ref="G500">SALESTABLE[[#This Row],[Quantity]]*_xlfn.XLOOKUP(SALESTABLE[[#This Row],[Product_ID]],ProductsTable[Product_ID],ProductsTable[Unit_Price],WAASIU,0,1)</f>
        <v>1712.24</v>
      </c>
      <c r="H500" cm="1">
        <f t="array" ref="H500">SALESTABLE[[#This Row],[Quantity]]*_xlfn.XLOOKUP(SALESTABLE[[#This Row],[Product_ID]],ProductsTable[Product_ID],ProductsTable[Cost_Price],WAASIU,0,1)</f>
        <v>1253.68</v>
      </c>
      <c r="I500">
        <f>SALESTABLE[[#This Row],[Revenue]]-SALESTABLE[[#This Row],[COST]]</f>
        <v>458.55999999999995</v>
      </c>
      <c r="J500">
        <f>SALESTABLE[[#This Row],[PROFIT]]/SALESTABLE[[#This Row],[Revenue]]*100</f>
        <v>26.781292342195016</v>
      </c>
    </row>
    <row r="501" spans="1:10" x14ac:dyDescent="0.35">
      <c r="A501" t="s">
        <v>635</v>
      </c>
      <c r="B501" s="4">
        <v>45014</v>
      </c>
      <c r="C501" t="s">
        <v>61</v>
      </c>
      <c r="D501" t="s">
        <v>84</v>
      </c>
      <c r="E501">
        <v>12</v>
      </c>
      <c r="F501">
        <v>10</v>
      </c>
      <c r="G501" cm="1">
        <f t="array" ref="G501">SALESTABLE[[#This Row],[Quantity]]*_xlfn.XLOOKUP(SALESTABLE[[#This Row],[Product_ID]],ProductsTable[Product_ID],ProductsTable[Unit_Price],WAASIU,0,1)</f>
        <v>3226.7999999999997</v>
      </c>
      <c r="H501" cm="1">
        <f t="array" ref="H501">SALESTABLE[[#This Row],[Quantity]]*_xlfn.XLOOKUP(SALESTABLE[[#This Row],[Product_ID]],ProductsTable[Product_ID],ProductsTable[Cost_Price],WAASIU,0,1)</f>
        <v>1870.3200000000002</v>
      </c>
      <c r="I501">
        <f>SALESTABLE[[#This Row],[Revenue]]-SALESTABLE[[#This Row],[COST]]</f>
        <v>1356.4799999999996</v>
      </c>
      <c r="J501">
        <f>SALESTABLE[[#This Row],[PROFIT]]/SALESTABLE[[#This Row],[Revenue]]*100</f>
        <v>42.037932316846401</v>
      </c>
    </row>
    <row r="502" spans="1:10" x14ac:dyDescent="0.35">
      <c r="A502" t="s">
        <v>636</v>
      </c>
      <c r="B502" s="4">
        <v>45133</v>
      </c>
      <c r="C502" t="s">
        <v>10</v>
      </c>
      <c r="D502" t="s">
        <v>22</v>
      </c>
      <c r="E502">
        <v>12</v>
      </c>
      <c r="F502">
        <v>15</v>
      </c>
      <c r="G502" cm="1">
        <f t="array" ref="G502">SALESTABLE[[#This Row],[Quantity]]*_xlfn.XLOOKUP(SALESTABLE[[#This Row],[Product_ID]],ProductsTable[Product_ID],ProductsTable[Unit_Price],WAASIU,0,1)</f>
        <v>5036.04</v>
      </c>
      <c r="H502" cm="1">
        <f t="array" ref="H502">SALESTABLE[[#This Row],[Quantity]]*_xlfn.XLOOKUP(SALESTABLE[[#This Row],[Product_ID]],ProductsTable[Product_ID],ProductsTable[Cost_Price],WAASIU,0,1)</f>
        <v>2561.04</v>
      </c>
      <c r="I502">
        <f>SALESTABLE[[#This Row],[Revenue]]-SALESTABLE[[#This Row],[COST]]</f>
        <v>2475</v>
      </c>
      <c r="J502">
        <f>SALESTABLE[[#This Row],[PROFIT]]/SALESTABLE[[#This Row],[Revenue]]*100</f>
        <v>49.145757380799196</v>
      </c>
    </row>
    <row r="503" spans="1:10" x14ac:dyDescent="0.35">
      <c r="A503" t="s">
        <v>637</v>
      </c>
      <c r="B503" s="4">
        <v>45160</v>
      </c>
      <c r="C503" t="s">
        <v>356</v>
      </c>
      <c r="D503" t="s">
        <v>41</v>
      </c>
      <c r="E503">
        <v>15</v>
      </c>
      <c r="F503">
        <v>5</v>
      </c>
      <c r="G503" cm="1">
        <f t="array" ref="G503">SALESTABLE[[#This Row],[Quantity]]*_xlfn.XLOOKUP(SALESTABLE[[#This Row],[Product_ID]],ProductsTable[Product_ID],ProductsTable[Unit_Price],WAASIU,0,1)</f>
        <v>6386.25</v>
      </c>
      <c r="H503" cm="1">
        <f t="array" ref="H503">SALESTABLE[[#This Row],[Quantity]]*_xlfn.XLOOKUP(SALESTABLE[[#This Row],[Product_ID]],ProductsTable[Product_ID],ProductsTable[Cost_Price],WAASIU,0,1)</f>
        <v>3646.95</v>
      </c>
      <c r="I503">
        <f>SALESTABLE[[#This Row],[Revenue]]-SALESTABLE[[#This Row],[COST]]</f>
        <v>2739.3</v>
      </c>
      <c r="J503">
        <f>SALESTABLE[[#This Row],[PROFIT]]/SALESTABLE[[#This Row],[Revenue]]*100</f>
        <v>42.89371697005285</v>
      </c>
    </row>
    <row r="504" spans="1:10" x14ac:dyDescent="0.35">
      <c r="A504" t="s">
        <v>638</v>
      </c>
      <c r="B504" s="4">
        <v>45167</v>
      </c>
      <c r="C504" t="s">
        <v>18</v>
      </c>
      <c r="D504" t="s">
        <v>25</v>
      </c>
      <c r="E504">
        <v>12</v>
      </c>
      <c r="F504">
        <v>20</v>
      </c>
      <c r="G504" cm="1">
        <f t="array" ref="G504">SALESTABLE[[#This Row],[Quantity]]*_xlfn.XLOOKUP(SALESTABLE[[#This Row],[Product_ID]],ProductsTable[Product_ID],ProductsTable[Unit_Price],WAASIU,0,1)</f>
        <v>2133.12</v>
      </c>
      <c r="H504" cm="1">
        <f t="array" ref="H504">SALESTABLE[[#This Row],[Quantity]]*_xlfn.XLOOKUP(SALESTABLE[[#This Row],[Product_ID]],ProductsTable[Product_ID],ProductsTable[Cost_Price],WAASIU,0,1)</f>
        <v>1102.56</v>
      </c>
      <c r="I504">
        <f>SALESTABLE[[#This Row],[Revenue]]-SALESTABLE[[#This Row],[COST]]</f>
        <v>1030.56</v>
      </c>
      <c r="J504">
        <f>SALESTABLE[[#This Row],[PROFIT]]/SALESTABLE[[#This Row],[Revenue]]*100</f>
        <v>48.312331233123309</v>
      </c>
    </row>
    <row r="505" spans="1:10" x14ac:dyDescent="0.35">
      <c r="A505" t="s">
        <v>639</v>
      </c>
      <c r="B505" s="4">
        <v>45200</v>
      </c>
      <c r="C505" t="s">
        <v>257</v>
      </c>
      <c r="D505" t="s">
        <v>74</v>
      </c>
      <c r="E505">
        <v>18</v>
      </c>
      <c r="F505">
        <v>20</v>
      </c>
      <c r="G505" cm="1">
        <f t="array" ref="G505">SALESTABLE[[#This Row],[Quantity]]*_xlfn.XLOOKUP(SALESTABLE[[#This Row],[Product_ID]],ProductsTable[Product_ID],ProductsTable[Unit_Price],WAASIU,0,1)</f>
        <v>774</v>
      </c>
      <c r="H505" cm="1">
        <f t="array" ref="H505">SALESTABLE[[#This Row],[Quantity]]*_xlfn.XLOOKUP(SALESTABLE[[#This Row],[Product_ID]],ProductsTable[Product_ID],ProductsTable[Cost_Price],WAASIU,0,1)</f>
        <v>540.9</v>
      </c>
      <c r="I505">
        <f>SALESTABLE[[#This Row],[Revenue]]-SALESTABLE[[#This Row],[COST]]</f>
        <v>233.10000000000002</v>
      </c>
      <c r="J505">
        <f>SALESTABLE[[#This Row],[PROFIT]]/SALESTABLE[[#This Row],[Revenue]]*100</f>
        <v>30.116279069767444</v>
      </c>
    </row>
    <row r="506" spans="1:10" x14ac:dyDescent="0.35">
      <c r="A506" t="s">
        <v>640</v>
      </c>
      <c r="B506" s="4">
        <v>45649</v>
      </c>
      <c r="C506" t="s">
        <v>156</v>
      </c>
      <c r="D506" t="s">
        <v>93</v>
      </c>
      <c r="E506">
        <v>10</v>
      </c>
      <c r="F506">
        <v>20</v>
      </c>
      <c r="G506" cm="1">
        <f t="array" ref="G506">SALESTABLE[[#This Row],[Quantity]]*_xlfn.XLOOKUP(SALESTABLE[[#This Row],[Product_ID]],ProductsTable[Product_ID],ProductsTable[Unit_Price],WAASIU,0,1)</f>
        <v>2140.3000000000002</v>
      </c>
      <c r="H506" cm="1">
        <f t="array" ref="H506">SALESTABLE[[#This Row],[Quantity]]*_xlfn.XLOOKUP(SALESTABLE[[#This Row],[Product_ID]],ProductsTable[Product_ID],ProductsTable[Cost_Price],WAASIU,0,1)</f>
        <v>1567.1000000000001</v>
      </c>
      <c r="I506">
        <f>SALESTABLE[[#This Row],[Revenue]]-SALESTABLE[[#This Row],[COST]]</f>
        <v>573.20000000000005</v>
      </c>
      <c r="J506">
        <f>SALESTABLE[[#This Row],[PROFIT]]/SALESTABLE[[#This Row],[Revenue]]*100</f>
        <v>26.781292342195016</v>
      </c>
    </row>
    <row r="507" spans="1:10" x14ac:dyDescent="0.35">
      <c r="A507" t="s">
        <v>641</v>
      </c>
      <c r="B507" s="4">
        <v>45099</v>
      </c>
      <c r="C507" t="s">
        <v>237</v>
      </c>
      <c r="D507" t="s">
        <v>16</v>
      </c>
      <c r="E507">
        <v>2</v>
      </c>
      <c r="F507">
        <v>20</v>
      </c>
      <c r="G507" cm="1">
        <f t="array" ref="G507">SALESTABLE[[#This Row],[Quantity]]*_xlfn.XLOOKUP(SALESTABLE[[#This Row],[Product_ID]],ProductsTable[Product_ID],ProductsTable[Unit_Price],WAASIU,0,1)</f>
        <v>724.34</v>
      </c>
      <c r="H507" cm="1">
        <f t="array" ref="H507">SALESTABLE[[#This Row],[Quantity]]*_xlfn.XLOOKUP(SALESTABLE[[#This Row],[Product_ID]],ProductsTable[Product_ID],ProductsTable[Cost_Price],WAASIU,0,1)</f>
        <v>466.76</v>
      </c>
      <c r="I507">
        <f>SALESTABLE[[#This Row],[Revenue]]-SALESTABLE[[#This Row],[COST]]</f>
        <v>257.58000000000004</v>
      </c>
      <c r="J507">
        <f>SALESTABLE[[#This Row],[PROFIT]]/SALESTABLE[[#This Row],[Revenue]]*100</f>
        <v>35.56064831432753</v>
      </c>
    </row>
    <row r="508" spans="1:10" x14ac:dyDescent="0.35">
      <c r="A508" t="s">
        <v>642</v>
      </c>
      <c r="B508" s="4">
        <v>45127</v>
      </c>
      <c r="C508" t="s">
        <v>10</v>
      </c>
      <c r="D508" t="s">
        <v>16</v>
      </c>
      <c r="E508">
        <v>9</v>
      </c>
      <c r="F508">
        <v>5</v>
      </c>
      <c r="G508" cm="1">
        <f t="array" ref="G508">SALESTABLE[[#This Row],[Quantity]]*_xlfn.XLOOKUP(SALESTABLE[[#This Row],[Product_ID]],ProductsTable[Product_ID],ProductsTable[Unit_Price],WAASIU,0,1)</f>
        <v>3259.53</v>
      </c>
      <c r="H508" cm="1">
        <f t="array" ref="H508">SALESTABLE[[#This Row],[Quantity]]*_xlfn.XLOOKUP(SALESTABLE[[#This Row],[Product_ID]],ProductsTable[Product_ID],ProductsTable[Cost_Price],WAASIU,0,1)</f>
        <v>2100.42</v>
      </c>
      <c r="I508">
        <f>SALESTABLE[[#This Row],[Revenue]]-SALESTABLE[[#This Row],[COST]]</f>
        <v>1159.1100000000001</v>
      </c>
      <c r="J508">
        <f>SALESTABLE[[#This Row],[PROFIT]]/SALESTABLE[[#This Row],[Revenue]]*100</f>
        <v>35.560648314327523</v>
      </c>
    </row>
    <row r="509" spans="1:10" x14ac:dyDescent="0.35">
      <c r="A509" t="s">
        <v>643</v>
      </c>
      <c r="B509" s="4">
        <v>45316</v>
      </c>
      <c r="C509" t="s">
        <v>352</v>
      </c>
      <c r="D509" t="s">
        <v>22</v>
      </c>
      <c r="E509">
        <v>3</v>
      </c>
      <c r="F509">
        <v>20</v>
      </c>
      <c r="G509" cm="1">
        <f t="array" ref="G509">SALESTABLE[[#This Row],[Quantity]]*_xlfn.XLOOKUP(SALESTABLE[[#This Row],[Product_ID]],ProductsTable[Product_ID],ProductsTable[Unit_Price],WAASIU,0,1)</f>
        <v>1259.01</v>
      </c>
      <c r="H509" cm="1">
        <f t="array" ref="H509">SALESTABLE[[#This Row],[Quantity]]*_xlfn.XLOOKUP(SALESTABLE[[#This Row],[Product_ID]],ProductsTable[Product_ID],ProductsTable[Cost_Price],WAASIU,0,1)</f>
        <v>640.26</v>
      </c>
      <c r="I509">
        <f>SALESTABLE[[#This Row],[Revenue]]-SALESTABLE[[#This Row],[COST]]</f>
        <v>618.75</v>
      </c>
      <c r="J509">
        <f>SALESTABLE[[#This Row],[PROFIT]]/SALESTABLE[[#This Row],[Revenue]]*100</f>
        <v>49.145757380799196</v>
      </c>
    </row>
    <row r="510" spans="1:10" x14ac:dyDescent="0.35">
      <c r="A510" t="s">
        <v>644</v>
      </c>
      <c r="B510" s="4">
        <v>45549</v>
      </c>
      <c r="C510" t="s">
        <v>270</v>
      </c>
      <c r="D510" t="s">
        <v>93</v>
      </c>
      <c r="E510">
        <v>2</v>
      </c>
      <c r="F510">
        <v>0</v>
      </c>
      <c r="G510" cm="1">
        <f t="array" ref="G510">SALESTABLE[[#This Row],[Quantity]]*_xlfn.XLOOKUP(SALESTABLE[[#This Row],[Product_ID]],ProductsTable[Product_ID],ProductsTable[Unit_Price],WAASIU,0,1)</f>
        <v>428.06</v>
      </c>
      <c r="H510" cm="1">
        <f t="array" ref="H510">SALESTABLE[[#This Row],[Quantity]]*_xlfn.XLOOKUP(SALESTABLE[[#This Row],[Product_ID]],ProductsTable[Product_ID],ProductsTable[Cost_Price],WAASIU,0,1)</f>
        <v>313.42</v>
      </c>
      <c r="I510">
        <f>SALESTABLE[[#This Row],[Revenue]]-SALESTABLE[[#This Row],[COST]]</f>
        <v>114.63999999999999</v>
      </c>
      <c r="J510">
        <f>SALESTABLE[[#This Row],[PROFIT]]/SALESTABLE[[#This Row],[Revenue]]*100</f>
        <v>26.781292342195016</v>
      </c>
    </row>
    <row r="511" spans="1:10" x14ac:dyDescent="0.35">
      <c r="A511" t="s">
        <v>645</v>
      </c>
      <c r="B511" s="4">
        <v>45517</v>
      </c>
      <c r="C511" t="s">
        <v>247</v>
      </c>
      <c r="D511" t="s">
        <v>11</v>
      </c>
      <c r="E511">
        <v>20</v>
      </c>
      <c r="F511">
        <v>20</v>
      </c>
      <c r="G511" cm="1">
        <f t="array" ref="G511">SALESTABLE[[#This Row],[Quantity]]*_xlfn.XLOOKUP(SALESTABLE[[#This Row],[Product_ID]],ProductsTable[Product_ID],ProductsTable[Unit_Price],WAASIU,0,1)</f>
        <v>9545.4</v>
      </c>
      <c r="H511" cm="1">
        <f t="array" ref="H511">SALESTABLE[[#This Row],[Quantity]]*_xlfn.XLOOKUP(SALESTABLE[[#This Row],[Product_ID]],ProductsTable[Product_ID],ProductsTable[Cost_Price],WAASIU,0,1)</f>
        <v>5976.7999999999993</v>
      </c>
      <c r="I511">
        <f>SALESTABLE[[#This Row],[Revenue]]-SALESTABLE[[#This Row],[COST]]</f>
        <v>3568.6000000000004</v>
      </c>
      <c r="J511">
        <f>SALESTABLE[[#This Row],[PROFIT]]/SALESTABLE[[#This Row],[Revenue]]*100</f>
        <v>37.385546965030279</v>
      </c>
    </row>
    <row r="512" spans="1:10" x14ac:dyDescent="0.35">
      <c r="A512" t="s">
        <v>646</v>
      </c>
      <c r="B512" s="4">
        <v>45520</v>
      </c>
      <c r="C512" t="s">
        <v>156</v>
      </c>
      <c r="D512" t="s">
        <v>57</v>
      </c>
      <c r="E512">
        <v>17</v>
      </c>
      <c r="F512">
        <v>0</v>
      </c>
      <c r="G512" cm="1">
        <f t="array" ref="G512">SALESTABLE[[#This Row],[Quantity]]*_xlfn.XLOOKUP(SALESTABLE[[#This Row],[Product_ID]],ProductsTable[Product_ID],ProductsTable[Unit_Price],WAASIU,0,1)</f>
        <v>2700.11</v>
      </c>
      <c r="H512" cm="1">
        <f t="array" ref="H512">SALESTABLE[[#This Row],[Quantity]]*_xlfn.XLOOKUP(SALESTABLE[[#This Row],[Product_ID]],ProductsTable[Product_ID],ProductsTable[Cost_Price],WAASIU,0,1)</f>
        <v>2157.98</v>
      </c>
      <c r="I512">
        <f>SALESTABLE[[#This Row],[Revenue]]-SALESTABLE[[#This Row],[COST]]</f>
        <v>542.13000000000011</v>
      </c>
      <c r="J512">
        <f>SALESTABLE[[#This Row],[PROFIT]]/SALESTABLE[[#This Row],[Revenue]]*100</f>
        <v>20.078070893408047</v>
      </c>
    </row>
    <row r="513" spans="1:10" x14ac:dyDescent="0.35">
      <c r="A513" t="s">
        <v>647</v>
      </c>
      <c r="B513" s="4">
        <v>45069</v>
      </c>
      <c r="C513" t="s">
        <v>136</v>
      </c>
      <c r="D513" t="s">
        <v>100</v>
      </c>
      <c r="E513">
        <v>13</v>
      </c>
      <c r="F513">
        <v>10</v>
      </c>
      <c r="G513" cm="1">
        <f t="array" ref="G513">SALESTABLE[[#This Row],[Quantity]]*_xlfn.XLOOKUP(SALESTABLE[[#This Row],[Product_ID]],ProductsTable[Product_ID],ProductsTable[Unit_Price],WAASIU,0,1)</f>
        <v>5321.16</v>
      </c>
      <c r="H513" cm="1">
        <f t="array" ref="H513">SALESTABLE[[#This Row],[Quantity]]*_xlfn.XLOOKUP(SALESTABLE[[#This Row],[Product_ID]],ProductsTable[Product_ID],ProductsTable[Cost_Price],WAASIU,0,1)</f>
        <v>2764.4500000000003</v>
      </c>
      <c r="I513">
        <f>SALESTABLE[[#This Row],[Revenue]]-SALESTABLE[[#This Row],[COST]]</f>
        <v>2556.7099999999996</v>
      </c>
      <c r="J513">
        <f>SALESTABLE[[#This Row],[PROFIT]]/SALESTABLE[[#This Row],[Revenue]]*100</f>
        <v>48.047982018958265</v>
      </c>
    </row>
    <row r="514" spans="1:10" x14ac:dyDescent="0.35">
      <c r="A514" t="s">
        <v>648</v>
      </c>
      <c r="B514" s="4">
        <v>45394</v>
      </c>
      <c r="C514" t="s">
        <v>10</v>
      </c>
      <c r="D514" t="s">
        <v>52</v>
      </c>
      <c r="E514">
        <v>15</v>
      </c>
      <c r="F514">
        <v>15</v>
      </c>
      <c r="G514" cm="1">
        <f t="array" ref="G514">SALESTABLE[[#This Row],[Quantity]]*_xlfn.XLOOKUP(SALESTABLE[[#This Row],[Product_ID]],ProductsTable[Product_ID],ProductsTable[Unit_Price],WAASIU,0,1)</f>
        <v>2756.7</v>
      </c>
      <c r="H514" cm="1">
        <f t="array" ref="H514">SALESTABLE[[#This Row],[Quantity]]*_xlfn.XLOOKUP(SALESTABLE[[#This Row],[Product_ID]],ProductsTable[Product_ID],ProductsTable[Cost_Price],WAASIU,0,1)</f>
        <v>1734.4499999999998</v>
      </c>
      <c r="I514">
        <f>SALESTABLE[[#This Row],[Revenue]]-SALESTABLE[[#This Row],[COST]]</f>
        <v>1022.25</v>
      </c>
      <c r="J514">
        <f>SALESTABLE[[#This Row],[PROFIT]]/SALESTABLE[[#This Row],[Revenue]]*100</f>
        <v>37.082381107846338</v>
      </c>
    </row>
    <row r="515" spans="1:10" x14ac:dyDescent="0.35">
      <c r="A515" t="s">
        <v>649</v>
      </c>
      <c r="B515" s="4">
        <v>45565</v>
      </c>
      <c r="C515" t="s">
        <v>106</v>
      </c>
      <c r="D515" t="s">
        <v>113</v>
      </c>
      <c r="E515">
        <v>17</v>
      </c>
      <c r="F515">
        <v>20</v>
      </c>
      <c r="G515" cm="1">
        <f t="array" ref="G515">SALESTABLE[[#This Row],[Quantity]]*_xlfn.XLOOKUP(SALESTABLE[[#This Row],[Product_ID]],ProductsTable[Product_ID],ProductsTable[Unit_Price],WAASIU,0,1)</f>
        <v>5730.53</v>
      </c>
      <c r="H515" cm="1">
        <f t="array" ref="H515">SALESTABLE[[#This Row],[Quantity]]*_xlfn.XLOOKUP(SALESTABLE[[#This Row],[Product_ID]],ProductsTable[Product_ID],ProductsTable[Cost_Price],WAASIU,0,1)</f>
        <v>3168.97</v>
      </c>
      <c r="I515">
        <f>SALESTABLE[[#This Row],[Revenue]]-SALESTABLE[[#This Row],[COST]]</f>
        <v>2561.56</v>
      </c>
      <c r="J515">
        <f>SALESTABLE[[#This Row],[PROFIT]]/SALESTABLE[[#This Row],[Revenue]]*100</f>
        <v>44.700228425643004</v>
      </c>
    </row>
    <row r="516" spans="1:10" x14ac:dyDescent="0.35">
      <c r="A516" t="s">
        <v>650</v>
      </c>
      <c r="B516" s="4">
        <v>45033</v>
      </c>
      <c r="C516" t="s">
        <v>129</v>
      </c>
      <c r="D516" t="s">
        <v>133</v>
      </c>
      <c r="E516">
        <v>17</v>
      </c>
      <c r="F516">
        <v>10</v>
      </c>
      <c r="G516" cm="1">
        <f t="array" ref="G516">SALESTABLE[[#This Row],[Quantity]]*_xlfn.XLOOKUP(SALESTABLE[[#This Row],[Product_ID]],ProductsTable[Product_ID],ProductsTable[Unit_Price],WAASIU,0,1)</f>
        <v>5967</v>
      </c>
      <c r="H516" cm="1">
        <f t="array" ref="H516">SALESTABLE[[#This Row],[Quantity]]*_xlfn.XLOOKUP(SALESTABLE[[#This Row],[Product_ID]],ProductsTable[Product_ID],ProductsTable[Cost_Price],WAASIU,0,1)</f>
        <v>3971.71</v>
      </c>
      <c r="I516">
        <f>SALESTABLE[[#This Row],[Revenue]]-SALESTABLE[[#This Row],[COST]]</f>
        <v>1995.29</v>
      </c>
      <c r="J516">
        <f>SALESTABLE[[#This Row],[PROFIT]]/SALESTABLE[[#This Row],[Revenue]]*100</f>
        <v>33.438746438746435</v>
      </c>
    </row>
    <row r="517" spans="1:10" x14ac:dyDescent="0.35">
      <c r="A517" t="s">
        <v>651</v>
      </c>
      <c r="B517" s="4">
        <v>45367</v>
      </c>
      <c r="C517" t="s">
        <v>292</v>
      </c>
      <c r="D517" t="s">
        <v>93</v>
      </c>
      <c r="E517">
        <v>6</v>
      </c>
      <c r="F517">
        <v>5</v>
      </c>
      <c r="G517" cm="1">
        <f t="array" ref="G517">SALESTABLE[[#This Row],[Quantity]]*_xlfn.XLOOKUP(SALESTABLE[[#This Row],[Product_ID]],ProductsTable[Product_ID],ProductsTable[Unit_Price],WAASIU,0,1)</f>
        <v>1284.18</v>
      </c>
      <c r="H517" cm="1">
        <f t="array" ref="H517">SALESTABLE[[#This Row],[Quantity]]*_xlfn.XLOOKUP(SALESTABLE[[#This Row],[Product_ID]],ProductsTable[Product_ID],ProductsTable[Cost_Price],WAASIU,0,1)</f>
        <v>940.26</v>
      </c>
      <c r="I517">
        <f>SALESTABLE[[#This Row],[Revenue]]-SALESTABLE[[#This Row],[COST]]</f>
        <v>343.92000000000007</v>
      </c>
      <c r="J517">
        <f>SALESTABLE[[#This Row],[PROFIT]]/SALESTABLE[[#This Row],[Revenue]]*100</f>
        <v>26.781292342195023</v>
      </c>
    </row>
    <row r="518" spans="1:10" x14ac:dyDescent="0.35">
      <c r="A518" t="s">
        <v>652</v>
      </c>
      <c r="B518" s="4">
        <v>45629</v>
      </c>
      <c r="C518" t="s">
        <v>159</v>
      </c>
      <c r="D518" t="s">
        <v>13</v>
      </c>
      <c r="E518">
        <v>10</v>
      </c>
      <c r="F518">
        <v>15</v>
      </c>
      <c r="G518" cm="1">
        <f t="array" ref="G518">SALESTABLE[[#This Row],[Quantity]]*_xlfn.XLOOKUP(SALESTABLE[[#This Row],[Product_ID]],ProductsTable[Product_ID],ProductsTable[Unit_Price],WAASIU,0,1)</f>
        <v>4351.8</v>
      </c>
      <c r="H518" cm="1">
        <f t="array" ref="H518">SALESTABLE[[#This Row],[Quantity]]*_xlfn.XLOOKUP(SALESTABLE[[#This Row],[Product_ID]],ProductsTable[Product_ID],ProductsTable[Cost_Price],WAASIU,0,1)</f>
        <v>2309.5</v>
      </c>
      <c r="I518">
        <f>SALESTABLE[[#This Row],[Revenue]]-SALESTABLE[[#This Row],[COST]]</f>
        <v>2042.3000000000002</v>
      </c>
      <c r="J518">
        <f>SALESTABLE[[#This Row],[PROFIT]]/SALESTABLE[[#This Row],[Revenue]]*100</f>
        <v>46.930005974539277</v>
      </c>
    </row>
    <row r="519" spans="1:10" x14ac:dyDescent="0.35">
      <c r="A519" t="s">
        <v>653</v>
      </c>
      <c r="B519" s="4">
        <v>45317</v>
      </c>
      <c r="C519" t="s">
        <v>76</v>
      </c>
      <c r="D519" t="s">
        <v>13</v>
      </c>
      <c r="E519">
        <v>8</v>
      </c>
      <c r="F519">
        <v>20</v>
      </c>
      <c r="G519" cm="1">
        <f t="array" ref="G519">SALESTABLE[[#This Row],[Quantity]]*_xlfn.XLOOKUP(SALESTABLE[[#This Row],[Product_ID]],ProductsTable[Product_ID],ProductsTable[Unit_Price],WAASIU,0,1)</f>
        <v>3481.44</v>
      </c>
      <c r="H519" cm="1">
        <f t="array" ref="H519">SALESTABLE[[#This Row],[Quantity]]*_xlfn.XLOOKUP(SALESTABLE[[#This Row],[Product_ID]],ProductsTable[Product_ID],ProductsTable[Cost_Price],WAASIU,0,1)</f>
        <v>1847.6</v>
      </c>
      <c r="I519">
        <f>SALESTABLE[[#This Row],[Revenue]]-SALESTABLE[[#This Row],[COST]]</f>
        <v>1633.8400000000001</v>
      </c>
      <c r="J519">
        <f>SALESTABLE[[#This Row],[PROFIT]]/SALESTABLE[[#This Row],[Revenue]]*100</f>
        <v>46.930005974539277</v>
      </c>
    </row>
    <row r="520" spans="1:10" x14ac:dyDescent="0.35">
      <c r="A520" t="s">
        <v>654</v>
      </c>
      <c r="B520" s="4">
        <v>45406</v>
      </c>
      <c r="C520" t="s">
        <v>38</v>
      </c>
      <c r="D520" t="s">
        <v>13</v>
      </c>
      <c r="E520">
        <v>7</v>
      </c>
      <c r="F520">
        <v>20</v>
      </c>
      <c r="G520" cm="1">
        <f t="array" ref="G520">SALESTABLE[[#This Row],[Quantity]]*_xlfn.XLOOKUP(SALESTABLE[[#This Row],[Product_ID]],ProductsTable[Product_ID],ProductsTable[Unit_Price],WAASIU,0,1)</f>
        <v>3046.26</v>
      </c>
      <c r="H520" cm="1">
        <f t="array" ref="H520">SALESTABLE[[#This Row],[Quantity]]*_xlfn.XLOOKUP(SALESTABLE[[#This Row],[Product_ID]],ProductsTable[Product_ID],ProductsTable[Cost_Price],WAASIU,0,1)</f>
        <v>1616.6499999999999</v>
      </c>
      <c r="I520">
        <f>SALESTABLE[[#This Row],[Revenue]]-SALESTABLE[[#This Row],[COST]]</f>
        <v>1429.6100000000004</v>
      </c>
      <c r="J520">
        <f>SALESTABLE[[#This Row],[PROFIT]]/SALESTABLE[[#This Row],[Revenue]]*100</f>
        <v>46.930005974539277</v>
      </c>
    </row>
    <row r="521" spans="1:10" x14ac:dyDescent="0.35">
      <c r="A521" t="s">
        <v>655</v>
      </c>
      <c r="B521" s="4">
        <v>45257</v>
      </c>
      <c r="C521" t="s">
        <v>63</v>
      </c>
      <c r="D521" t="s">
        <v>127</v>
      </c>
      <c r="E521">
        <v>20</v>
      </c>
      <c r="F521">
        <v>0</v>
      </c>
      <c r="G521" cm="1">
        <f t="array" ref="G521">SALESTABLE[[#This Row],[Quantity]]*_xlfn.XLOOKUP(SALESTABLE[[#This Row],[Product_ID]],ProductsTable[Product_ID],ProductsTable[Unit_Price],WAASIU,0,1)</f>
        <v>1841.3999999999999</v>
      </c>
      <c r="H521" cm="1">
        <f t="array" ref="H521">SALESTABLE[[#This Row],[Quantity]]*_xlfn.XLOOKUP(SALESTABLE[[#This Row],[Product_ID]],ProductsTable[Product_ID],ProductsTable[Cost_Price],WAASIU,0,1)</f>
        <v>1127.2</v>
      </c>
      <c r="I521">
        <f>SALESTABLE[[#This Row],[Revenue]]-SALESTABLE[[#This Row],[COST]]</f>
        <v>714.19999999999982</v>
      </c>
      <c r="J521">
        <f>SALESTABLE[[#This Row],[PROFIT]]/SALESTABLE[[#This Row],[Revenue]]*100</f>
        <v>38.785706527642006</v>
      </c>
    </row>
    <row r="522" spans="1:10" x14ac:dyDescent="0.35">
      <c r="A522" t="s">
        <v>656</v>
      </c>
      <c r="B522" s="4">
        <v>45068</v>
      </c>
      <c r="C522" t="s">
        <v>129</v>
      </c>
      <c r="D522" t="s">
        <v>44</v>
      </c>
      <c r="E522">
        <v>20</v>
      </c>
      <c r="F522">
        <v>15</v>
      </c>
      <c r="G522" cm="1">
        <f t="array" ref="G522">SALESTABLE[[#This Row],[Quantity]]*_xlfn.XLOOKUP(SALESTABLE[[#This Row],[Product_ID]],ProductsTable[Product_ID],ProductsTable[Unit_Price],WAASIU,0,1)</f>
        <v>2683.8</v>
      </c>
      <c r="H522" cm="1">
        <f t="array" ref="H522">SALESTABLE[[#This Row],[Quantity]]*_xlfn.XLOOKUP(SALESTABLE[[#This Row],[Product_ID]],ProductsTable[Product_ID],ProductsTable[Cost_Price],WAASIU,0,1)</f>
        <v>1666.3999999999999</v>
      </c>
      <c r="I522">
        <f>SALESTABLE[[#This Row],[Revenue]]-SALESTABLE[[#This Row],[COST]]</f>
        <v>1017.4000000000003</v>
      </c>
      <c r="J522">
        <f>SALESTABLE[[#This Row],[PROFIT]]/SALESTABLE[[#This Row],[Revenue]]*100</f>
        <v>37.908935092033694</v>
      </c>
    </row>
    <row r="523" spans="1:10" x14ac:dyDescent="0.35">
      <c r="A523" t="s">
        <v>657</v>
      </c>
      <c r="B523" s="4">
        <v>45126</v>
      </c>
      <c r="C523" t="s">
        <v>223</v>
      </c>
      <c r="D523" t="s">
        <v>100</v>
      </c>
      <c r="E523">
        <v>2</v>
      </c>
      <c r="F523">
        <v>0</v>
      </c>
      <c r="G523" cm="1">
        <f t="array" ref="G523">SALESTABLE[[#This Row],[Quantity]]*_xlfn.XLOOKUP(SALESTABLE[[#This Row],[Product_ID]],ProductsTable[Product_ID],ProductsTable[Unit_Price],WAASIU,0,1)</f>
        <v>818.64</v>
      </c>
      <c r="H523" cm="1">
        <f t="array" ref="H523">SALESTABLE[[#This Row],[Quantity]]*_xlfn.XLOOKUP(SALESTABLE[[#This Row],[Product_ID]],ProductsTable[Product_ID],ProductsTable[Cost_Price],WAASIU,0,1)</f>
        <v>425.3</v>
      </c>
      <c r="I523">
        <f>SALESTABLE[[#This Row],[Revenue]]-SALESTABLE[[#This Row],[COST]]</f>
        <v>393.34</v>
      </c>
      <c r="J523">
        <f>SALESTABLE[[#This Row],[PROFIT]]/SALESTABLE[[#This Row],[Revenue]]*100</f>
        <v>48.047982018958265</v>
      </c>
    </row>
    <row r="524" spans="1:10" x14ac:dyDescent="0.35">
      <c r="A524" t="s">
        <v>658</v>
      </c>
      <c r="B524" s="4">
        <v>45263</v>
      </c>
      <c r="C524" t="s">
        <v>193</v>
      </c>
      <c r="D524" t="s">
        <v>100</v>
      </c>
      <c r="E524">
        <v>14</v>
      </c>
      <c r="F524">
        <v>0</v>
      </c>
      <c r="G524" cm="1">
        <f t="array" ref="G524">SALESTABLE[[#This Row],[Quantity]]*_xlfn.XLOOKUP(SALESTABLE[[#This Row],[Product_ID]],ProductsTable[Product_ID],ProductsTable[Unit_Price],WAASIU,0,1)</f>
        <v>5730.48</v>
      </c>
      <c r="H524" cm="1">
        <f t="array" ref="H524">SALESTABLE[[#This Row],[Quantity]]*_xlfn.XLOOKUP(SALESTABLE[[#This Row],[Product_ID]],ProductsTable[Product_ID],ProductsTable[Cost_Price],WAASIU,0,1)</f>
        <v>2977.1</v>
      </c>
      <c r="I524">
        <f>SALESTABLE[[#This Row],[Revenue]]-SALESTABLE[[#This Row],[COST]]</f>
        <v>2753.3799999999997</v>
      </c>
      <c r="J524">
        <f>SALESTABLE[[#This Row],[PROFIT]]/SALESTABLE[[#This Row],[Revenue]]*100</f>
        <v>48.047982018958265</v>
      </c>
    </row>
    <row r="525" spans="1:10" x14ac:dyDescent="0.35">
      <c r="A525" t="s">
        <v>659</v>
      </c>
      <c r="B525" s="4">
        <v>45520</v>
      </c>
      <c r="C525" t="s">
        <v>118</v>
      </c>
      <c r="D525" t="s">
        <v>74</v>
      </c>
      <c r="E525">
        <v>2</v>
      </c>
      <c r="F525">
        <v>20</v>
      </c>
      <c r="G525" cm="1">
        <f t="array" ref="G525">SALESTABLE[[#This Row],[Quantity]]*_xlfn.XLOOKUP(SALESTABLE[[#This Row],[Product_ID]],ProductsTable[Product_ID],ProductsTable[Unit_Price],WAASIU,0,1)</f>
        <v>86</v>
      </c>
      <c r="H525" cm="1">
        <f t="array" ref="H525">SALESTABLE[[#This Row],[Quantity]]*_xlfn.XLOOKUP(SALESTABLE[[#This Row],[Product_ID]],ProductsTable[Product_ID],ProductsTable[Cost_Price],WAASIU,0,1)</f>
        <v>60.1</v>
      </c>
      <c r="I525">
        <f>SALESTABLE[[#This Row],[Revenue]]-SALESTABLE[[#This Row],[COST]]</f>
        <v>25.9</v>
      </c>
      <c r="J525">
        <f>SALESTABLE[[#This Row],[PROFIT]]/SALESTABLE[[#This Row],[Revenue]]*100</f>
        <v>30.116279069767437</v>
      </c>
    </row>
    <row r="526" spans="1:10" x14ac:dyDescent="0.35">
      <c r="A526" t="s">
        <v>660</v>
      </c>
      <c r="B526" s="4">
        <v>45533</v>
      </c>
      <c r="C526" t="s">
        <v>161</v>
      </c>
      <c r="D526" t="s">
        <v>44</v>
      </c>
      <c r="E526">
        <v>10</v>
      </c>
      <c r="F526">
        <v>5</v>
      </c>
      <c r="G526" cm="1">
        <f t="array" ref="G526">SALESTABLE[[#This Row],[Quantity]]*_xlfn.XLOOKUP(SALESTABLE[[#This Row],[Product_ID]],ProductsTable[Product_ID],ProductsTable[Unit_Price],WAASIU,0,1)</f>
        <v>1341.9</v>
      </c>
      <c r="H526" cm="1">
        <f t="array" ref="H526">SALESTABLE[[#This Row],[Quantity]]*_xlfn.XLOOKUP(SALESTABLE[[#This Row],[Product_ID]],ProductsTable[Product_ID],ProductsTable[Cost_Price],WAASIU,0,1)</f>
        <v>833.19999999999993</v>
      </c>
      <c r="I526">
        <f>SALESTABLE[[#This Row],[Revenue]]-SALESTABLE[[#This Row],[COST]]</f>
        <v>508.70000000000016</v>
      </c>
      <c r="J526">
        <f>SALESTABLE[[#This Row],[PROFIT]]/SALESTABLE[[#This Row],[Revenue]]*100</f>
        <v>37.908935092033694</v>
      </c>
    </row>
    <row r="527" spans="1:10" x14ac:dyDescent="0.35">
      <c r="A527" t="s">
        <v>661</v>
      </c>
      <c r="B527" s="4">
        <v>45223</v>
      </c>
      <c r="C527" t="s">
        <v>257</v>
      </c>
      <c r="D527" t="s">
        <v>13</v>
      </c>
      <c r="E527">
        <v>15</v>
      </c>
      <c r="F527">
        <v>5</v>
      </c>
      <c r="G527" cm="1">
        <f t="array" ref="G527">SALESTABLE[[#This Row],[Quantity]]*_xlfn.XLOOKUP(SALESTABLE[[#This Row],[Product_ID]],ProductsTable[Product_ID],ProductsTable[Unit_Price],WAASIU,0,1)</f>
        <v>6527.7</v>
      </c>
      <c r="H527" cm="1">
        <f t="array" ref="H527">SALESTABLE[[#This Row],[Quantity]]*_xlfn.XLOOKUP(SALESTABLE[[#This Row],[Product_ID]],ProductsTable[Product_ID],ProductsTable[Cost_Price],WAASIU,0,1)</f>
        <v>3464.25</v>
      </c>
      <c r="I527">
        <f>SALESTABLE[[#This Row],[Revenue]]-SALESTABLE[[#This Row],[COST]]</f>
        <v>3063.45</v>
      </c>
      <c r="J527">
        <f>SALESTABLE[[#This Row],[PROFIT]]/SALESTABLE[[#This Row],[Revenue]]*100</f>
        <v>46.93000597453927</v>
      </c>
    </row>
    <row r="528" spans="1:10" x14ac:dyDescent="0.35">
      <c r="A528" t="s">
        <v>662</v>
      </c>
      <c r="B528" s="4">
        <v>45267</v>
      </c>
      <c r="C528" t="s">
        <v>65</v>
      </c>
      <c r="D528" t="s">
        <v>57</v>
      </c>
      <c r="E528">
        <v>18</v>
      </c>
      <c r="F528">
        <v>15</v>
      </c>
      <c r="G528" cm="1">
        <f t="array" ref="G528">SALESTABLE[[#This Row],[Quantity]]*_xlfn.XLOOKUP(SALESTABLE[[#This Row],[Product_ID]],ProductsTable[Product_ID],ProductsTable[Unit_Price],WAASIU,0,1)</f>
        <v>2858.94</v>
      </c>
      <c r="H528" cm="1">
        <f t="array" ref="H528">SALESTABLE[[#This Row],[Quantity]]*_xlfn.XLOOKUP(SALESTABLE[[#This Row],[Product_ID]],ProductsTable[Product_ID],ProductsTable[Cost_Price],WAASIU,0,1)</f>
        <v>2284.92</v>
      </c>
      <c r="I528">
        <f>SALESTABLE[[#This Row],[Revenue]]-SALESTABLE[[#This Row],[COST]]</f>
        <v>574.02</v>
      </c>
      <c r="J528">
        <f>SALESTABLE[[#This Row],[PROFIT]]/SALESTABLE[[#This Row],[Revenue]]*100</f>
        <v>20.078070893408047</v>
      </c>
    </row>
    <row r="529" spans="1:10" x14ac:dyDescent="0.35">
      <c r="A529" t="s">
        <v>663</v>
      </c>
      <c r="B529" s="4">
        <v>45220</v>
      </c>
      <c r="C529" t="s">
        <v>311</v>
      </c>
      <c r="D529" t="s">
        <v>16</v>
      </c>
      <c r="E529">
        <v>14</v>
      </c>
      <c r="F529">
        <v>5</v>
      </c>
      <c r="G529" cm="1">
        <f t="array" ref="G529">SALESTABLE[[#This Row],[Quantity]]*_xlfn.XLOOKUP(SALESTABLE[[#This Row],[Product_ID]],ProductsTable[Product_ID],ProductsTable[Unit_Price],WAASIU,0,1)</f>
        <v>5070.38</v>
      </c>
      <c r="H529" cm="1">
        <f t="array" ref="H529">SALESTABLE[[#This Row],[Quantity]]*_xlfn.XLOOKUP(SALESTABLE[[#This Row],[Product_ID]],ProductsTable[Product_ID],ProductsTable[Cost_Price],WAASIU,0,1)</f>
        <v>3267.3199999999997</v>
      </c>
      <c r="I529">
        <f>SALESTABLE[[#This Row],[Revenue]]-SALESTABLE[[#This Row],[COST]]</f>
        <v>1803.0600000000004</v>
      </c>
      <c r="J529">
        <f>SALESTABLE[[#This Row],[PROFIT]]/SALESTABLE[[#This Row],[Revenue]]*100</f>
        <v>35.56064831432753</v>
      </c>
    </row>
    <row r="530" spans="1:10" x14ac:dyDescent="0.35">
      <c r="A530" t="s">
        <v>664</v>
      </c>
      <c r="B530" s="4">
        <v>45210</v>
      </c>
      <c r="C530" t="s">
        <v>61</v>
      </c>
      <c r="D530" t="s">
        <v>16</v>
      </c>
      <c r="E530">
        <v>17</v>
      </c>
      <c r="F530">
        <v>0</v>
      </c>
      <c r="G530" cm="1">
        <f t="array" ref="G530">SALESTABLE[[#This Row],[Quantity]]*_xlfn.XLOOKUP(SALESTABLE[[#This Row],[Product_ID]],ProductsTable[Product_ID],ProductsTable[Unit_Price],WAASIU,0,1)</f>
        <v>6156.89</v>
      </c>
      <c r="H530" cm="1">
        <f t="array" ref="H530">SALESTABLE[[#This Row],[Quantity]]*_xlfn.XLOOKUP(SALESTABLE[[#This Row],[Product_ID]],ProductsTable[Product_ID],ProductsTable[Cost_Price],WAASIU,0,1)</f>
        <v>3967.46</v>
      </c>
      <c r="I530">
        <f>SALESTABLE[[#This Row],[Revenue]]-SALESTABLE[[#This Row],[COST]]</f>
        <v>2189.4300000000003</v>
      </c>
      <c r="J530">
        <f>SALESTABLE[[#This Row],[PROFIT]]/SALESTABLE[[#This Row],[Revenue]]*100</f>
        <v>35.56064831432753</v>
      </c>
    </row>
    <row r="531" spans="1:10" x14ac:dyDescent="0.35">
      <c r="A531" t="s">
        <v>665</v>
      </c>
      <c r="B531" s="4">
        <v>45085</v>
      </c>
      <c r="C531" t="s">
        <v>59</v>
      </c>
      <c r="D531" t="s">
        <v>41</v>
      </c>
      <c r="E531">
        <v>19</v>
      </c>
      <c r="F531">
        <v>10</v>
      </c>
      <c r="G531" cm="1">
        <f t="array" ref="G531">SALESTABLE[[#This Row],[Quantity]]*_xlfn.XLOOKUP(SALESTABLE[[#This Row],[Product_ID]],ProductsTable[Product_ID],ProductsTable[Unit_Price],WAASIU,0,1)</f>
        <v>8089.25</v>
      </c>
      <c r="H531" cm="1">
        <f t="array" ref="H531">SALESTABLE[[#This Row],[Quantity]]*_xlfn.XLOOKUP(SALESTABLE[[#This Row],[Product_ID]],ProductsTable[Product_ID],ProductsTable[Cost_Price],WAASIU,0,1)</f>
        <v>4619.47</v>
      </c>
      <c r="I531">
        <f>SALESTABLE[[#This Row],[Revenue]]-SALESTABLE[[#This Row],[COST]]</f>
        <v>3469.7799999999997</v>
      </c>
      <c r="J531">
        <f>SALESTABLE[[#This Row],[PROFIT]]/SALESTABLE[[#This Row],[Revenue]]*100</f>
        <v>42.893716970052843</v>
      </c>
    </row>
    <row r="532" spans="1:10" x14ac:dyDescent="0.35">
      <c r="A532" t="s">
        <v>666</v>
      </c>
      <c r="B532" s="4">
        <v>45017</v>
      </c>
      <c r="C532" t="s">
        <v>161</v>
      </c>
      <c r="D532" t="s">
        <v>13</v>
      </c>
      <c r="E532">
        <v>11</v>
      </c>
      <c r="F532">
        <v>0</v>
      </c>
      <c r="G532" cm="1">
        <f t="array" ref="G532">SALESTABLE[[#This Row],[Quantity]]*_xlfn.XLOOKUP(SALESTABLE[[#This Row],[Product_ID]],ProductsTable[Product_ID],ProductsTable[Unit_Price],WAASIU,0,1)</f>
        <v>4786.9800000000005</v>
      </c>
      <c r="H532" cm="1">
        <f t="array" ref="H532">SALESTABLE[[#This Row],[Quantity]]*_xlfn.XLOOKUP(SALESTABLE[[#This Row],[Product_ID]],ProductsTable[Product_ID],ProductsTable[Cost_Price],WAASIU,0,1)</f>
        <v>2540.4499999999998</v>
      </c>
      <c r="I532">
        <f>SALESTABLE[[#This Row],[Revenue]]-SALESTABLE[[#This Row],[COST]]</f>
        <v>2246.5300000000007</v>
      </c>
      <c r="J532">
        <f>SALESTABLE[[#This Row],[PROFIT]]/SALESTABLE[[#This Row],[Revenue]]*100</f>
        <v>46.930005974539277</v>
      </c>
    </row>
    <row r="533" spans="1:10" x14ac:dyDescent="0.35">
      <c r="A533" t="s">
        <v>667</v>
      </c>
      <c r="B533" s="4">
        <v>45197</v>
      </c>
      <c r="C533" t="s">
        <v>294</v>
      </c>
      <c r="D533" t="s">
        <v>49</v>
      </c>
      <c r="E533">
        <v>3</v>
      </c>
      <c r="F533">
        <v>10</v>
      </c>
      <c r="G533" cm="1">
        <f t="array" ref="G533">SALESTABLE[[#This Row],[Quantity]]*_xlfn.XLOOKUP(SALESTABLE[[#This Row],[Product_ID]],ProductsTable[Product_ID],ProductsTable[Unit_Price],WAASIU,0,1)</f>
        <v>688.89</v>
      </c>
      <c r="H533" cm="1">
        <f t="array" ref="H533">SALESTABLE[[#This Row],[Quantity]]*_xlfn.XLOOKUP(SALESTABLE[[#This Row],[Product_ID]],ProductsTable[Product_ID],ProductsTable[Cost_Price],WAASIU,0,1)</f>
        <v>394.26</v>
      </c>
      <c r="I533">
        <f>SALESTABLE[[#This Row],[Revenue]]-SALESTABLE[[#This Row],[COST]]</f>
        <v>294.63</v>
      </c>
      <c r="J533">
        <f>SALESTABLE[[#This Row],[PROFIT]]/SALESTABLE[[#This Row],[Revenue]]*100</f>
        <v>42.76880198580325</v>
      </c>
    </row>
    <row r="534" spans="1:10" x14ac:dyDescent="0.35">
      <c r="A534" t="s">
        <v>668</v>
      </c>
      <c r="B534" s="4">
        <v>45585</v>
      </c>
      <c r="C534" t="s">
        <v>171</v>
      </c>
      <c r="D534" t="s">
        <v>77</v>
      </c>
      <c r="E534">
        <v>12</v>
      </c>
      <c r="F534">
        <v>20</v>
      </c>
      <c r="G534" cm="1">
        <f t="array" ref="G534">SALESTABLE[[#This Row],[Quantity]]*_xlfn.XLOOKUP(SALESTABLE[[#This Row],[Product_ID]],ProductsTable[Product_ID],ProductsTable[Unit_Price],WAASIU,0,1)</f>
        <v>1101.5999999999999</v>
      </c>
      <c r="H534" cm="1">
        <f t="array" ref="H534">SALESTABLE[[#This Row],[Quantity]]*_xlfn.XLOOKUP(SALESTABLE[[#This Row],[Product_ID]],ProductsTable[Product_ID],ProductsTable[Cost_Price],WAASIU,0,1)</f>
        <v>587.64</v>
      </c>
      <c r="I534">
        <f>SALESTABLE[[#This Row],[Revenue]]-SALESTABLE[[#This Row],[COST]]</f>
        <v>513.95999999999992</v>
      </c>
      <c r="J534">
        <f>SALESTABLE[[#This Row],[PROFIT]]/SALESTABLE[[#This Row],[Revenue]]*100</f>
        <v>46.655773420479299</v>
      </c>
    </row>
    <row r="535" spans="1:10" x14ac:dyDescent="0.35">
      <c r="A535" t="s">
        <v>669</v>
      </c>
      <c r="B535" s="4">
        <v>45063</v>
      </c>
      <c r="C535" t="s">
        <v>86</v>
      </c>
      <c r="D535" t="s">
        <v>52</v>
      </c>
      <c r="E535">
        <v>5</v>
      </c>
      <c r="F535">
        <v>5</v>
      </c>
      <c r="G535" cm="1">
        <f t="array" ref="G535">SALESTABLE[[#This Row],[Quantity]]*_xlfn.XLOOKUP(SALESTABLE[[#This Row],[Product_ID]],ProductsTable[Product_ID],ProductsTable[Unit_Price],WAASIU,0,1)</f>
        <v>918.9</v>
      </c>
      <c r="H535" cm="1">
        <f t="array" ref="H535">SALESTABLE[[#This Row],[Quantity]]*_xlfn.XLOOKUP(SALESTABLE[[#This Row],[Product_ID]],ProductsTable[Product_ID],ProductsTable[Cost_Price],WAASIU,0,1)</f>
        <v>578.15</v>
      </c>
      <c r="I535">
        <f>SALESTABLE[[#This Row],[Revenue]]-SALESTABLE[[#This Row],[COST]]</f>
        <v>340.75</v>
      </c>
      <c r="J535">
        <f>SALESTABLE[[#This Row],[PROFIT]]/SALESTABLE[[#This Row],[Revenue]]*100</f>
        <v>37.082381107846338</v>
      </c>
    </row>
    <row r="536" spans="1:10" x14ac:dyDescent="0.35">
      <c r="A536" t="s">
        <v>670</v>
      </c>
      <c r="B536" s="4">
        <v>45064</v>
      </c>
      <c r="C536" t="s">
        <v>104</v>
      </c>
      <c r="D536" t="s">
        <v>137</v>
      </c>
      <c r="E536">
        <v>12</v>
      </c>
      <c r="F536">
        <v>10</v>
      </c>
      <c r="G536" cm="1">
        <f t="array" ref="G536">SALESTABLE[[#This Row],[Quantity]]*_xlfn.XLOOKUP(SALESTABLE[[#This Row],[Product_ID]],ProductsTable[Product_ID],ProductsTable[Unit_Price],WAASIU,0,1)</f>
        <v>4361.28</v>
      </c>
      <c r="H536" cm="1">
        <f t="array" ref="H536">SALESTABLE[[#This Row],[Quantity]]*_xlfn.XLOOKUP(SALESTABLE[[#This Row],[Product_ID]],ProductsTable[Product_ID],ProductsTable[Cost_Price],WAASIU,0,1)</f>
        <v>3000.6000000000004</v>
      </c>
      <c r="I536">
        <f>SALESTABLE[[#This Row],[Revenue]]-SALESTABLE[[#This Row],[COST]]</f>
        <v>1360.6799999999994</v>
      </c>
      <c r="J536">
        <f>SALESTABLE[[#This Row],[PROFIT]]/SALESTABLE[[#This Row],[Revenue]]*100</f>
        <v>31.19909751265682</v>
      </c>
    </row>
    <row r="537" spans="1:10" x14ac:dyDescent="0.35">
      <c r="A537" t="s">
        <v>671</v>
      </c>
      <c r="B537" s="4">
        <v>45119</v>
      </c>
      <c r="C537" t="s">
        <v>174</v>
      </c>
      <c r="D537" t="s">
        <v>52</v>
      </c>
      <c r="E537">
        <v>19</v>
      </c>
      <c r="F537">
        <v>15</v>
      </c>
      <c r="G537" cm="1">
        <f t="array" ref="G537">SALESTABLE[[#This Row],[Quantity]]*_xlfn.XLOOKUP(SALESTABLE[[#This Row],[Product_ID]],ProductsTable[Product_ID],ProductsTable[Unit_Price],WAASIU,0,1)</f>
        <v>3491.82</v>
      </c>
      <c r="H537" cm="1">
        <f t="array" ref="H537">SALESTABLE[[#This Row],[Quantity]]*_xlfn.XLOOKUP(SALESTABLE[[#This Row],[Product_ID]],ProductsTable[Product_ID],ProductsTable[Cost_Price],WAASIU,0,1)</f>
        <v>2196.9699999999998</v>
      </c>
      <c r="I537">
        <f>SALESTABLE[[#This Row],[Revenue]]-SALESTABLE[[#This Row],[COST]]</f>
        <v>1294.8500000000004</v>
      </c>
      <c r="J537">
        <f>SALESTABLE[[#This Row],[PROFIT]]/SALESTABLE[[#This Row],[Revenue]]*100</f>
        <v>37.082381107846345</v>
      </c>
    </row>
    <row r="538" spans="1:10" x14ac:dyDescent="0.35">
      <c r="A538" t="s">
        <v>672</v>
      </c>
      <c r="B538" s="4">
        <v>45319</v>
      </c>
      <c r="C538" t="s">
        <v>67</v>
      </c>
      <c r="D538" t="s">
        <v>127</v>
      </c>
      <c r="E538">
        <v>2</v>
      </c>
      <c r="F538">
        <v>15</v>
      </c>
      <c r="G538" cm="1">
        <f t="array" ref="G538">SALESTABLE[[#This Row],[Quantity]]*_xlfn.XLOOKUP(SALESTABLE[[#This Row],[Product_ID]],ProductsTable[Product_ID],ProductsTable[Unit_Price],WAASIU,0,1)</f>
        <v>184.14</v>
      </c>
      <c r="H538" cm="1">
        <f t="array" ref="H538">SALESTABLE[[#This Row],[Quantity]]*_xlfn.XLOOKUP(SALESTABLE[[#This Row],[Product_ID]],ProductsTable[Product_ID],ProductsTable[Cost_Price],WAASIU,0,1)</f>
        <v>112.72</v>
      </c>
      <c r="I538">
        <f>SALESTABLE[[#This Row],[Revenue]]-SALESTABLE[[#This Row],[COST]]</f>
        <v>71.419999999999987</v>
      </c>
      <c r="J538">
        <f>SALESTABLE[[#This Row],[PROFIT]]/SALESTABLE[[#This Row],[Revenue]]*100</f>
        <v>38.785706527642006</v>
      </c>
    </row>
    <row r="539" spans="1:10" x14ac:dyDescent="0.35">
      <c r="A539" t="s">
        <v>673</v>
      </c>
      <c r="B539" s="4">
        <v>45508</v>
      </c>
      <c r="C539" t="s">
        <v>171</v>
      </c>
      <c r="D539" t="s">
        <v>84</v>
      </c>
      <c r="E539">
        <v>1</v>
      </c>
      <c r="F539">
        <v>5</v>
      </c>
      <c r="G539" cm="1">
        <f t="array" ref="G539">SALESTABLE[[#This Row],[Quantity]]*_xlfn.XLOOKUP(SALESTABLE[[#This Row],[Product_ID]],ProductsTable[Product_ID],ProductsTable[Unit_Price],WAASIU,0,1)</f>
        <v>268.89999999999998</v>
      </c>
      <c r="H539" cm="1">
        <f t="array" ref="H539">SALESTABLE[[#This Row],[Quantity]]*_xlfn.XLOOKUP(SALESTABLE[[#This Row],[Product_ID]],ProductsTable[Product_ID],ProductsTable[Cost_Price],WAASIU,0,1)</f>
        <v>155.86000000000001</v>
      </c>
      <c r="I539">
        <f>SALESTABLE[[#This Row],[Revenue]]-SALESTABLE[[#This Row],[COST]]</f>
        <v>113.03999999999996</v>
      </c>
      <c r="J539">
        <f>SALESTABLE[[#This Row],[PROFIT]]/SALESTABLE[[#This Row],[Revenue]]*100</f>
        <v>42.037932316846401</v>
      </c>
    </row>
    <row r="540" spans="1:10" x14ac:dyDescent="0.35">
      <c r="A540" t="s">
        <v>674</v>
      </c>
      <c r="B540" s="4">
        <v>45100</v>
      </c>
      <c r="C540" t="s">
        <v>40</v>
      </c>
      <c r="D540" t="s">
        <v>110</v>
      </c>
      <c r="E540">
        <v>4</v>
      </c>
      <c r="F540">
        <v>10</v>
      </c>
      <c r="G540" cm="1">
        <f t="array" ref="G540">SALESTABLE[[#This Row],[Quantity]]*_xlfn.XLOOKUP(SALESTABLE[[#This Row],[Product_ID]],ProductsTable[Product_ID],ProductsTable[Unit_Price],WAASIU,0,1)</f>
        <v>1965.28</v>
      </c>
      <c r="H540" cm="1">
        <f t="array" ref="H540">SALESTABLE[[#This Row],[Quantity]]*_xlfn.XLOOKUP(SALESTABLE[[#This Row],[Product_ID]],ProductsTable[Product_ID],ProductsTable[Cost_Price],WAASIU,0,1)</f>
        <v>1072.44</v>
      </c>
      <c r="I540">
        <f>SALESTABLE[[#This Row],[Revenue]]-SALESTABLE[[#This Row],[COST]]</f>
        <v>892.83999999999992</v>
      </c>
      <c r="J540">
        <f>SALESTABLE[[#This Row],[PROFIT]]/SALESTABLE[[#This Row],[Revenue]]*100</f>
        <v>45.430676544818041</v>
      </c>
    </row>
    <row r="541" spans="1:10" x14ac:dyDescent="0.35">
      <c r="A541" t="s">
        <v>675</v>
      </c>
      <c r="B541" s="4">
        <v>45515</v>
      </c>
      <c r="C541" t="s">
        <v>297</v>
      </c>
      <c r="D541" t="s">
        <v>97</v>
      </c>
      <c r="E541">
        <v>20</v>
      </c>
      <c r="F541">
        <v>10</v>
      </c>
      <c r="G541" cm="1">
        <f t="array" ref="G541">SALESTABLE[[#This Row],[Quantity]]*_xlfn.XLOOKUP(SALESTABLE[[#This Row],[Product_ID]],ProductsTable[Product_ID],ProductsTable[Unit_Price],WAASIU,0,1)</f>
        <v>6204.2</v>
      </c>
      <c r="H541" cm="1">
        <f t="array" ref="H541">SALESTABLE[[#This Row],[Quantity]]*_xlfn.XLOOKUP(SALESTABLE[[#This Row],[Product_ID]],ProductsTable[Product_ID],ProductsTable[Cost_Price],WAASIU,0,1)</f>
        <v>4505.8</v>
      </c>
      <c r="I541">
        <f>SALESTABLE[[#This Row],[Revenue]]-SALESTABLE[[#This Row],[COST]]</f>
        <v>1698.3999999999996</v>
      </c>
      <c r="J541">
        <f>SALESTABLE[[#This Row],[PROFIT]]/SALESTABLE[[#This Row],[Revenue]]*100</f>
        <v>27.375004029528377</v>
      </c>
    </row>
    <row r="542" spans="1:10" x14ac:dyDescent="0.35">
      <c r="A542" t="s">
        <v>676</v>
      </c>
      <c r="B542" s="4">
        <v>44930</v>
      </c>
      <c r="C542" t="s">
        <v>149</v>
      </c>
      <c r="D542" t="s">
        <v>110</v>
      </c>
      <c r="E542">
        <v>15</v>
      </c>
      <c r="F542">
        <v>20</v>
      </c>
      <c r="G542" cm="1">
        <f t="array" ref="G542">SALESTABLE[[#This Row],[Quantity]]*_xlfn.XLOOKUP(SALESTABLE[[#This Row],[Product_ID]],ProductsTable[Product_ID],ProductsTable[Unit_Price],WAASIU,0,1)</f>
        <v>7369.8</v>
      </c>
      <c r="H542" cm="1">
        <f t="array" ref="H542">SALESTABLE[[#This Row],[Quantity]]*_xlfn.XLOOKUP(SALESTABLE[[#This Row],[Product_ID]],ProductsTable[Product_ID],ProductsTable[Cost_Price],WAASIU,0,1)</f>
        <v>4021.65</v>
      </c>
      <c r="I542">
        <f>SALESTABLE[[#This Row],[Revenue]]-SALESTABLE[[#This Row],[COST]]</f>
        <v>3348.15</v>
      </c>
      <c r="J542">
        <f>SALESTABLE[[#This Row],[PROFIT]]/SALESTABLE[[#This Row],[Revenue]]*100</f>
        <v>45.430676544818041</v>
      </c>
    </row>
    <row r="543" spans="1:10" x14ac:dyDescent="0.35">
      <c r="A543" t="s">
        <v>677</v>
      </c>
      <c r="B543" s="4">
        <v>45589</v>
      </c>
      <c r="C543" t="s">
        <v>69</v>
      </c>
      <c r="D543" t="s">
        <v>113</v>
      </c>
      <c r="E543">
        <v>14</v>
      </c>
      <c r="F543">
        <v>20</v>
      </c>
      <c r="G543" cm="1">
        <f t="array" ref="G543">SALESTABLE[[#This Row],[Quantity]]*_xlfn.XLOOKUP(SALESTABLE[[#This Row],[Product_ID]],ProductsTable[Product_ID],ProductsTable[Unit_Price],WAASIU,0,1)</f>
        <v>4719.2599999999993</v>
      </c>
      <c r="H543" cm="1">
        <f t="array" ref="H543">SALESTABLE[[#This Row],[Quantity]]*_xlfn.XLOOKUP(SALESTABLE[[#This Row],[Product_ID]],ProductsTable[Product_ID],ProductsTable[Cost_Price],WAASIU,0,1)</f>
        <v>2609.7399999999998</v>
      </c>
      <c r="I543">
        <f>SALESTABLE[[#This Row],[Revenue]]-SALESTABLE[[#This Row],[COST]]</f>
        <v>2109.5199999999995</v>
      </c>
      <c r="J543">
        <f>SALESTABLE[[#This Row],[PROFIT]]/SALESTABLE[[#This Row],[Revenue]]*100</f>
        <v>44.700228425643004</v>
      </c>
    </row>
    <row r="544" spans="1:10" x14ac:dyDescent="0.35">
      <c r="A544" t="s">
        <v>678</v>
      </c>
      <c r="B544" s="4">
        <v>45498</v>
      </c>
      <c r="C544" t="s">
        <v>223</v>
      </c>
      <c r="D544" t="s">
        <v>28</v>
      </c>
      <c r="E544">
        <v>13</v>
      </c>
      <c r="F544">
        <v>0</v>
      </c>
      <c r="G544" cm="1">
        <f t="array" ref="G544">SALESTABLE[[#This Row],[Quantity]]*_xlfn.XLOOKUP(SALESTABLE[[#This Row],[Product_ID]],ProductsTable[Product_ID],ProductsTable[Unit_Price],WAASIU,0,1)</f>
        <v>5531.24</v>
      </c>
      <c r="H544" cm="1">
        <f t="array" ref="H544">SALESTABLE[[#This Row],[Quantity]]*_xlfn.XLOOKUP(SALESTABLE[[#This Row],[Product_ID]],ProductsTable[Product_ID],ProductsTable[Cost_Price],WAASIU,0,1)</f>
        <v>3035.24</v>
      </c>
      <c r="I544">
        <f>SALESTABLE[[#This Row],[Revenue]]-SALESTABLE[[#This Row],[COST]]</f>
        <v>2496</v>
      </c>
      <c r="J544">
        <f>SALESTABLE[[#This Row],[PROFIT]]/SALESTABLE[[#This Row],[Revenue]]*100</f>
        <v>45.12550531164802</v>
      </c>
    </row>
    <row r="545" spans="1:10" x14ac:dyDescent="0.35">
      <c r="A545" t="s">
        <v>679</v>
      </c>
      <c r="B545" s="4">
        <v>45505</v>
      </c>
      <c r="C545" t="s">
        <v>318</v>
      </c>
      <c r="D545" t="s">
        <v>97</v>
      </c>
      <c r="E545">
        <v>6</v>
      </c>
      <c r="F545">
        <v>10</v>
      </c>
      <c r="G545" cm="1">
        <f t="array" ref="G545">SALESTABLE[[#This Row],[Quantity]]*_xlfn.XLOOKUP(SALESTABLE[[#This Row],[Product_ID]],ProductsTable[Product_ID],ProductsTable[Unit_Price],WAASIU,0,1)</f>
        <v>1861.2599999999998</v>
      </c>
      <c r="H545" cm="1">
        <f t="array" ref="H545">SALESTABLE[[#This Row],[Quantity]]*_xlfn.XLOOKUP(SALESTABLE[[#This Row],[Product_ID]],ProductsTable[Product_ID],ProductsTable[Cost_Price],WAASIU,0,1)</f>
        <v>1351.74</v>
      </c>
      <c r="I545">
        <f>SALESTABLE[[#This Row],[Revenue]]-SALESTABLE[[#This Row],[COST]]</f>
        <v>509.51999999999975</v>
      </c>
      <c r="J545">
        <f>SALESTABLE[[#This Row],[PROFIT]]/SALESTABLE[[#This Row],[Revenue]]*100</f>
        <v>27.375004029528377</v>
      </c>
    </row>
    <row r="546" spans="1:10" x14ac:dyDescent="0.35">
      <c r="A546" t="s">
        <v>680</v>
      </c>
      <c r="B546" s="4">
        <v>45367</v>
      </c>
      <c r="C546" t="s">
        <v>198</v>
      </c>
      <c r="D546" t="s">
        <v>11</v>
      </c>
      <c r="E546">
        <v>2</v>
      </c>
      <c r="F546">
        <v>0</v>
      </c>
      <c r="G546" cm="1">
        <f t="array" ref="G546">SALESTABLE[[#This Row],[Quantity]]*_xlfn.XLOOKUP(SALESTABLE[[#This Row],[Product_ID]],ProductsTable[Product_ID],ProductsTable[Unit_Price],WAASIU,0,1)</f>
        <v>954.54</v>
      </c>
      <c r="H546" cm="1">
        <f t="array" ref="H546">SALESTABLE[[#This Row],[Quantity]]*_xlfn.XLOOKUP(SALESTABLE[[#This Row],[Product_ID]],ProductsTable[Product_ID],ProductsTable[Cost_Price],WAASIU,0,1)</f>
        <v>597.67999999999995</v>
      </c>
      <c r="I546">
        <f>SALESTABLE[[#This Row],[Revenue]]-SALESTABLE[[#This Row],[COST]]</f>
        <v>356.86</v>
      </c>
      <c r="J546">
        <f>SALESTABLE[[#This Row],[PROFIT]]/SALESTABLE[[#This Row],[Revenue]]*100</f>
        <v>37.385546965030279</v>
      </c>
    </row>
    <row r="547" spans="1:10" x14ac:dyDescent="0.35">
      <c r="A547" t="s">
        <v>681</v>
      </c>
      <c r="B547" s="4">
        <v>45370</v>
      </c>
      <c r="C547" t="s">
        <v>144</v>
      </c>
      <c r="D547" t="s">
        <v>77</v>
      </c>
      <c r="E547">
        <v>9</v>
      </c>
      <c r="F547">
        <v>5</v>
      </c>
      <c r="G547" cm="1">
        <f t="array" ref="G547">SALESTABLE[[#This Row],[Quantity]]*_xlfn.XLOOKUP(SALESTABLE[[#This Row],[Product_ID]],ProductsTable[Product_ID],ProductsTable[Unit_Price],WAASIU,0,1)</f>
        <v>826.19999999999993</v>
      </c>
      <c r="H547" cm="1">
        <f t="array" ref="H547">SALESTABLE[[#This Row],[Quantity]]*_xlfn.XLOOKUP(SALESTABLE[[#This Row],[Product_ID]],ProductsTable[Product_ID],ProductsTable[Cost_Price],WAASIU,0,1)</f>
        <v>440.73</v>
      </c>
      <c r="I547">
        <f>SALESTABLE[[#This Row],[Revenue]]-SALESTABLE[[#This Row],[COST]]</f>
        <v>385.46999999999991</v>
      </c>
      <c r="J547">
        <f>SALESTABLE[[#This Row],[PROFIT]]/SALESTABLE[[#This Row],[Revenue]]*100</f>
        <v>46.655773420479299</v>
      </c>
    </row>
    <row r="548" spans="1:10" x14ac:dyDescent="0.35">
      <c r="A548" t="s">
        <v>682</v>
      </c>
      <c r="B548" s="4">
        <v>45588</v>
      </c>
      <c r="C548" t="s">
        <v>289</v>
      </c>
      <c r="D548" t="s">
        <v>97</v>
      </c>
      <c r="E548">
        <v>10</v>
      </c>
      <c r="F548">
        <v>15</v>
      </c>
      <c r="G548" cm="1">
        <f t="array" ref="G548">SALESTABLE[[#This Row],[Quantity]]*_xlfn.XLOOKUP(SALESTABLE[[#This Row],[Product_ID]],ProductsTable[Product_ID],ProductsTable[Unit_Price],WAASIU,0,1)</f>
        <v>3102.1</v>
      </c>
      <c r="H548" cm="1">
        <f t="array" ref="H548">SALESTABLE[[#This Row],[Quantity]]*_xlfn.XLOOKUP(SALESTABLE[[#This Row],[Product_ID]],ProductsTable[Product_ID],ProductsTable[Cost_Price],WAASIU,0,1)</f>
        <v>2252.9</v>
      </c>
      <c r="I548">
        <f>SALESTABLE[[#This Row],[Revenue]]-SALESTABLE[[#This Row],[COST]]</f>
        <v>849.19999999999982</v>
      </c>
      <c r="J548">
        <f>SALESTABLE[[#This Row],[PROFIT]]/SALESTABLE[[#This Row],[Revenue]]*100</f>
        <v>27.375004029528377</v>
      </c>
    </row>
    <row r="549" spans="1:10" x14ac:dyDescent="0.35">
      <c r="A549" t="s">
        <v>683</v>
      </c>
      <c r="B549" s="4">
        <v>45473</v>
      </c>
      <c r="C549" t="s">
        <v>289</v>
      </c>
      <c r="D549" t="s">
        <v>57</v>
      </c>
      <c r="E549">
        <v>13</v>
      </c>
      <c r="F549">
        <v>0</v>
      </c>
      <c r="G549" cm="1">
        <f t="array" ref="G549">SALESTABLE[[#This Row],[Quantity]]*_xlfn.XLOOKUP(SALESTABLE[[#This Row],[Product_ID]],ProductsTable[Product_ID],ProductsTable[Unit_Price],WAASIU,0,1)</f>
        <v>2064.79</v>
      </c>
      <c r="H549" cm="1">
        <f t="array" ref="H549">SALESTABLE[[#This Row],[Quantity]]*_xlfn.XLOOKUP(SALESTABLE[[#This Row],[Product_ID]],ProductsTable[Product_ID],ProductsTable[Cost_Price],WAASIU,0,1)</f>
        <v>1650.22</v>
      </c>
      <c r="I549">
        <f>SALESTABLE[[#This Row],[Revenue]]-SALESTABLE[[#This Row],[COST]]</f>
        <v>414.56999999999994</v>
      </c>
      <c r="J549">
        <f>SALESTABLE[[#This Row],[PROFIT]]/SALESTABLE[[#This Row],[Revenue]]*100</f>
        <v>20.078070893408043</v>
      </c>
    </row>
    <row r="550" spans="1:10" x14ac:dyDescent="0.35">
      <c r="A550" t="s">
        <v>684</v>
      </c>
      <c r="B550" s="4">
        <v>44968</v>
      </c>
      <c r="C550" t="s">
        <v>225</v>
      </c>
      <c r="D550" t="s">
        <v>41</v>
      </c>
      <c r="E550">
        <v>13</v>
      </c>
      <c r="F550">
        <v>20</v>
      </c>
      <c r="G550" cm="1">
        <f t="array" ref="G550">SALESTABLE[[#This Row],[Quantity]]*_xlfn.XLOOKUP(SALESTABLE[[#This Row],[Product_ID]],ProductsTable[Product_ID],ProductsTable[Unit_Price],WAASIU,0,1)</f>
        <v>5534.75</v>
      </c>
      <c r="H550" cm="1">
        <f t="array" ref="H550">SALESTABLE[[#This Row],[Quantity]]*_xlfn.XLOOKUP(SALESTABLE[[#This Row],[Product_ID]],ProductsTable[Product_ID],ProductsTable[Cost_Price],WAASIU,0,1)</f>
        <v>3160.69</v>
      </c>
      <c r="I550">
        <f>SALESTABLE[[#This Row],[Revenue]]-SALESTABLE[[#This Row],[COST]]</f>
        <v>2374.06</v>
      </c>
      <c r="J550">
        <f>SALESTABLE[[#This Row],[PROFIT]]/SALESTABLE[[#This Row],[Revenue]]*100</f>
        <v>42.89371697005285</v>
      </c>
    </row>
    <row r="551" spans="1:10" x14ac:dyDescent="0.35">
      <c r="A551" t="s">
        <v>685</v>
      </c>
      <c r="B551" s="4">
        <v>45056</v>
      </c>
      <c r="C551" t="s">
        <v>99</v>
      </c>
      <c r="D551" t="s">
        <v>16</v>
      </c>
      <c r="E551">
        <v>7</v>
      </c>
      <c r="F551">
        <v>20</v>
      </c>
      <c r="G551" cm="1">
        <f t="array" ref="G551">SALESTABLE[[#This Row],[Quantity]]*_xlfn.XLOOKUP(SALESTABLE[[#This Row],[Product_ID]],ProductsTable[Product_ID],ProductsTable[Unit_Price],WAASIU,0,1)</f>
        <v>2535.19</v>
      </c>
      <c r="H551" cm="1">
        <f t="array" ref="H551">SALESTABLE[[#This Row],[Quantity]]*_xlfn.XLOOKUP(SALESTABLE[[#This Row],[Product_ID]],ProductsTable[Product_ID],ProductsTable[Cost_Price],WAASIU,0,1)</f>
        <v>1633.6599999999999</v>
      </c>
      <c r="I551">
        <f>SALESTABLE[[#This Row],[Revenue]]-SALESTABLE[[#This Row],[COST]]</f>
        <v>901.5300000000002</v>
      </c>
      <c r="J551">
        <f>SALESTABLE[[#This Row],[PROFIT]]/SALESTABLE[[#This Row],[Revenue]]*100</f>
        <v>35.56064831432753</v>
      </c>
    </row>
    <row r="552" spans="1:10" x14ac:dyDescent="0.35">
      <c r="A552" t="s">
        <v>686</v>
      </c>
      <c r="B552" s="4">
        <v>45539</v>
      </c>
      <c r="C552" t="s">
        <v>348</v>
      </c>
      <c r="D552" t="s">
        <v>28</v>
      </c>
      <c r="E552">
        <v>18</v>
      </c>
      <c r="F552">
        <v>5</v>
      </c>
      <c r="G552" cm="1">
        <f t="array" ref="G552">SALESTABLE[[#This Row],[Quantity]]*_xlfn.XLOOKUP(SALESTABLE[[#This Row],[Product_ID]],ProductsTable[Product_ID],ProductsTable[Unit_Price],WAASIU,0,1)</f>
        <v>7658.64</v>
      </c>
      <c r="H552" cm="1">
        <f t="array" ref="H552">SALESTABLE[[#This Row],[Quantity]]*_xlfn.XLOOKUP(SALESTABLE[[#This Row],[Product_ID]],ProductsTable[Product_ID],ProductsTable[Cost_Price],WAASIU,0,1)</f>
        <v>4202.6399999999994</v>
      </c>
      <c r="I552">
        <f>SALESTABLE[[#This Row],[Revenue]]-SALESTABLE[[#This Row],[COST]]</f>
        <v>3456.0000000000009</v>
      </c>
      <c r="J552">
        <f>SALESTABLE[[#This Row],[PROFIT]]/SALESTABLE[[#This Row],[Revenue]]*100</f>
        <v>45.125505311648027</v>
      </c>
    </row>
    <row r="553" spans="1:10" x14ac:dyDescent="0.35">
      <c r="A553" t="s">
        <v>687</v>
      </c>
      <c r="B553" s="4">
        <v>44936</v>
      </c>
      <c r="C553" t="s">
        <v>193</v>
      </c>
      <c r="D553" t="s">
        <v>8</v>
      </c>
      <c r="E553">
        <v>17</v>
      </c>
      <c r="F553">
        <v>5</v>
      </c>
      <c r="G553" cm="1">
        <f t="array" ref="G553">SALESTABLE[[#This Row],[Quantity]]*_xlfn.XLOOKUP(SALESTABLE[[#This Row],[Product_ID]],ProductsTable[Product_ID],ProductsTable[Unit_Price],WAASIU,0,1)</f>
        <v>5717.44</v>
      </c>
      <c r="H553" cm="1">
        <f t="array" ref="H553">SALESTABLE[[#This Row],[Quantity]]*_xlfn.XLOOKUP(SALESTABLE[[#This Row],[Product_ID]],ProductsTable[Product_ID],ProductsTable[Cost_Price],WAASIU,0,1)</f>
        <v>3872.26</v>
      </c>
      <c r="I553">
        <f>SALESTABLE[[#This Row],[Revenue]]-SALESTABLE[[#This Row],[COST]]</f>
        <v>1845.1799999999994</v>
      </c>
      <c r="J553">
        <f>SALESTABLE[[#This Row],[PROFIT]]/SALESTABLE[[#This Row],[Revenue]]*100</f>
        <v>32.272835394862028</v>
      </c>
    </row>
    <row r="554" spans="1:10" x14ac:dyDescent="0.35">
      <c r="A554" t="s">
        <v>688</v>
      </c>
      <c r="B554" s="4">
        <v>45086</v>
      </c>
      <c r="C554" t="s">
        <v>18</v>
      </c>
      <c r="D554" t="s">
        <v>107</v>
      </c>
      <c r="E554">
        <v>9</v>
      </c>
      <c r="F554">
        <v>15</v>
      </c>
      <c r="G554" cm="1">
        <f t="array" ref="G554">SALESTABLE[[#This Row],[Quantity]]*_xlfn.XLOOKUP(SALESTABLE[[#This Row],[Product_ID]],ProductsTable[Product_ID],ProductsTable[Unit_Price],WAASIU,0,1)</f>
        <v>585.09</v>
      </c>
      <c r="H554" cm="1">
        <f t="array" ref="H554">SALESTABLE[[#This Row],[Quantity]]*_xlfn.XLOOKUP(SALESTABLE[[#This Row],[Product_ID]],ProductsTable[Product_ID],ProductsTable[Cost_Price],WAASIU,0,1)</f>
        <v>331.46999999999997</v>
      </c>
      <c r="I554">
        <f>SALESTABLE[[#This Row],[Revenue]]-SALESTABLE[[#This Row],[COST]]</f>
        <v>253.62000000000006</v>
      </c>
      <c r="J554">
        <f>SALESTABLE[[#This Row],[PROFIT]]/SALESTABLE[[#This Row],[Revenue]]*100</f>
        <v>43.347177357329649</v>
      </c>
    </row>
    <row r="555" spans="1:10" x14ac:dyDescent="0.35">
      <c r="A555" t="s">
        <v>689</v>
      </c>
      <c r="B555" s="4">
        <v>45529</v>
      </c>
      <c r="C555" t="s">
        <v>318</v>
      </c>
      <c r="D555" t="s">
        <v>49</v>
      </c>
      <c r="E555">
        <v>10</v>
      </c>
      <c r="F555">
        <v>10</v>
      </c>
      <c r="G555" cm="1">
        <f t="array" ref="G555">SALESTABLE[[#This Row],[Quantity]]*_xlfn.XLOOKUP(SALESTABLE[[#This Row],[Product_ID]],ProductsTable[Product_ID],ProductsTable[Unit_Price],WAASIU,0,1)</f>
        <v>2296.3000000000002</v>
      </c>
      <c r="H555" cm="1">
        <f t="array" ref="H555">SALESTABLE[[#This Row],[Quantity]]*_xlfn.XLOOKUP(SALESTABLE[[#This Row],[Product_ID]],ProductsTable[Product_ID],ProductsTable[Cost_Price],WAASIU,0,1)</f>
        <v>1314.1999999999998</v>
      </c>
      <c r="I555">
        <f>SALESTABLE[[#This Row],[Revenue]]-SALESTABLE[[#This Row],[COST]]</f>
        <v>982.10000000000036</v>
      </c>
      <c r="J555">
        <f>SALESTABLE[[#This Row],[PROFIT]]/SALESTABLE[[#This Row],[Revenue]]*100</f>
        <v>42.768801985803265</v>
      </c>
    </row>
    <row r="556" spans="1:10" x14ac:dyDescent="0.35">
      <c r="A556" t="s">
        <v>690</v>
      </c>
      <c r="B556" s="4">
        <v>45210</v>
      </c>
      <c r="C556" t="s">
        <v>69</v>
      </c>
      <c r="D556" t="s">
        <v>31</v>
      </c>
      <c r="E556">
        <v>3</v>
      </c>
      <c r="F556">
        <v>10</v>
      </c>
      <c r="G556" cm="1">
        <f t="array" ref="G556">SALESTABLE[[#This Row],[Quantity]]*_xlfn.XLOOKUP(SALESTABLE[[#This Row],[Product_ID]],ProductsTable[Product_ID],ProductsTable[Unit_Price],WAASIU,0,1)</f>
        <v>519.41999999999996</v>
      </c>
      <c r="H556" cm="1">
        <f t="array" ref="H556">SALESTABLE[[#This Row],[Quantity]]*_xlfn.XLOOKUP(SALESTABLE[[#This Row],[Product_ID]],ProductsTable[Product_ID],ProductsTable[Cost_Price],WAASIU,0,1)</f>
        <v>300.87</v>
      </c>
      <c r="I556">
        <f>SALESTABLE[[#This Row],[Revenue]]-SALESTABLE[[#This Row],[COST]]</f>
        <v>218.54999999999995</v>
      </c>
      <c r="J556">
        <f>SALESTABLE[[#This Row],[PROFIT]]/SALESTABLE[[#This Row],[Revenue]]*100</f>
        <v>42.075776828000457</v>
      </c>
    </row>
    <row r="557" spans="1:10" x14ac:dyDescent="0.35">
      <c r="A557" t="s">
        <v>691</v>
      </c>
      <c r="B557" s="4">
        <v>45060</v>
      </c>
      <c r="C557" t="s">
        <v>136</v>
      </c>
      <c r="D557" t="s">
        <v>97</v>
      </c>
      <c r="E557">
        <v>15</v>
      </c>
      <c r="F557">
        <v>5</v>
      </c>
      <c r="G557" cm="1">
        <f t="array" ref="G557">SALESTABLE[[#This Row],[Quantity]]*_xlfn.XLOOKUP(SALESTABLE[[#This Row],[Product_ID]],ProductsTable[Product_ID],ProductsTable[Unit_Price],WAASIU,0,1)</f>
        <v>4653.1499999999996</v>
      </c>
      <c r="H557" cm="1">
        <f t="array" ref="H557">SALESTABLE[[#This Row],[Quantity]]*_xlfn.XLOOKUP(SALESTABLE[[#This Row],[Product_ID]],ProductsTable[Product_ID],ProductsTable[Cost_Price],WAASIU,0,1)</f>
        <v>3379.35</v>
      </c>
      <c r="I557">
        <f>SALESTABLE[[#This Row],[Revenue]]-SALESTABLE[[#This Row],[COST]]</f>
        <v>1273.7999999999997</v>
      </c>
      <c r="J557">
        <f>SALESTABLE[[#This Row],[PROFIT]]/SALESTABLE[[#This Row],[Revenue]]*100</f>
        <v>27.375004029528384</v>
      </c>
    </row>
    <row r="558" spans="1:10" x14ac:dyDescent="0.35">
      <c r="A558" t="s">
        <v>692</v>
      </c>
      <c r="B558" s="4">
        <v>45063</v>
      </c>
      <c r="C558" t="s">
        <v>122</v>
      </c>
      <c r="D558" t="s">
        <v>125</v>
      </c>
      <c r="E558">
        <v>14</v>
      </c>
      <c r="F558">
        <v>15</v>
      </c>
      <c r="G558" cm="1">
        <f t="array" ref="G558">SALESTABLE[[#This Row],[Quantity]]*_xlfn.XLOOKUP(SALESTABLE[[#This Row],[Product_ID]],ProductsTable[Product_ID],ProductsTable[Unit_Price],WAASIU,0,1)</f>
        <v>4685.8</v>
      </c>
      <c r="H558" cm="1">
        <f t="array" ref="H558">SALESTABLE[[#This Row],[Quantity]]*_xlfn.XLOOKUP(SALESTABLE[[#This Row],[Product_ID]],ProductsTable[Product_ID],ProductsTable[Cost_Price],WAASIU,0,1)</f>
        <v>3493.28</v>
      </c>
      <c r="I558">
        <f>SALESTABLE[[#This Row],[Revenue]]-SALESTABLE[[#This Row],[COST]]</f>
        <v>1192.52</v>
      </c>
      <c r="J558">
        <f>SALESTABLE[[#This Row],[PROFIT]]/SALESTABLE[[#This Row],[Revenue]]*100</f>
        <v>25.449656408724231</v>
      </c>
    </row>
    <row r="559" spans="1:10" x14ac:dyDescent="0.35">
      <c r="A559" t="s">
        <v>693</v>
      </c>
      <c r="B559" s="4">
        <v>45028</v>
      </c>
      <c r="C559" t="s">
        <v>169</v>
      </c>
      <c r="D559" t="s">
        <v>22</v>
      </c>
      <c r="E559">
        <v>4</v>
      </c>
      <c r="F559">
        <v>20</v>
      </c>
      <c r="G559" cm="1">
        <f t="array" ref="G559">SALESTABLE[[#This Row],[Quantity]]*_xlfn.XLOOKUP(SALESTABLE[[#This Row],[Product_ID]],ProductsTable[Product_ID],ProductsTable[Unit_Price],WAASIU,0,1)</f>
        <v>1678.68</v>
      </c>
      <c r="H559" cm="1">
        <f t="array" ref="H559">SALESTABLE[[#This Row],[Quantity]]*_xlfn.XLOOKUP(SALESTABLE[[#This Row],[Product_ID]],ProductsTable[Product_ID],ProductsTable[Cost_Price],WAASIU,0,1)</f>
        <v>853.68</v>
      </c>
      <c r="I559">
        <f>SALESTABLE[[#This Row],[Revenue]]-SALESTABLE[[#This Row],[COST]]</f>
        <v>825.00000000000011</v>
      </c>
      <c r="J559">
        <f>SALESTABLE[[#This Row],[PROFIT]]/SALESTABLE[[#This Row],[Revenue]]*100</f>
        <v>49.145757380799203</v>
      </c>
    </row>
    <row r="560" spans="1:10" x14ac:dyDescent="0.35">
      <c r="A560" t="s">
        <v>694</v>
      </c>
      <c r="B560" s="4">
        <v>45517</v>
      </c>
      <c r="C560" t="s">
        <v>73</v>
      </c>
      <c r="D560" t="s">
        <v>31</v>
      </c>
      <c r="E560">
        <v>13</v>
      </c>
      <c r="F560">
        <v>20</v>
      </c>
      <c r="G560" cm="1">
        <f t="array" ref="G560">SALESTABLE[[#This Row],[Quantity]]*_xlfn.XLOOKUP(SALESTABLE[[#This Row],[Product_ID]],ProductsTable[Product_ID],ProductsTable[Unit_Price],WAASIU,0,1)</f>
        <v>2250.8199999999997</v>
      </c>
      <c r="H560" cm="1">
        <f t="array" ref="H560">SALESTABLE[[#This Row],[Quantity]]*_xlfn.XLOOKUP(SALESTABLE[[#This Row],[Product_ID]],ProductsTable[Product_ID],ProductsTable[Cost_Price],WAASIU,0,1)</f>
        <v>1303.77</v>
      </c>
      <c r="I560">
        <f>SALESTABLE[[#This Row],[Revenue]]-SALESTABLE[[#This Row],[COST]]</f>
        <v>947.04999999999973</v>
      </c>
      <c r="J560">
        <f>SALESTABLE[[#This Row],[PROFIT]]/SALESTABLE[[#This Row],[Revenue]]*100</f>
        <v>42.075776828000457</v>
      </c>
    </row>
    <row r="561" spans="1:10" x14ac:dyDescent="0.35">
      <c r="A561" t="s">
        <v>695</v>
      </c>
      <c r="B561" s="4">
        <v>45561</v>
      </c>
      <c r="C561" t="s">
        <v>92</v>
      </c>
      <c r="D561" t="s">
        <v>74</v>
      </c>
      <c r="E561">
        <v>13</v>
      </c>
      <c r="F561">
        <v>10</v>
      </c>
      <c r="G561" cm="1">
        <f t="array" ref="G561">SALESTABLE[[#This Row],[Quantity]]*_xlfn.XLOOKUP(SALESTABLE[[#This Row],[Product_ID]],ProductsTable[Product_ID],ProductsTable[Unit_Price],WAASIU,0,1)</f>
        <v>559</v>
      </c>
      <c r="H561" cm="1">
        <f t="array" ref="H561">SALESTABLE[[#This Row],[Quantity]]*_xlfn.XLOOKUP(SALESTABLE[[#This Row],[Product_ID]],ProductsTable[Product_ID],ProductsTable[Cost_Price],WAASIU,0,1)</f>
        <v>390.65000000000003</v>
      </c>
      <c r="I561">
        <f>SALESTABLE[[#This Row],[Revenue]]-SALESTABLE[[#This Row],[COST]]</f>
        <v>168.34999999999997</v>
      </c>
      <c r="J561">
        <f>SALESTABLE[[#This Row],[PROFIT]]/SALESTABLE[[#This Row],[Revenue]]*100</f>
        <v>30.116279069767437</v>
      </c>
    </row>
    <row r="562" spans="1:10" x14ac:dyDescent="0.35">
      <c r="A562" t="s">
        <v>696</v>
      </c>
      <c r="B562" s="4">
        <v>45161</v>
      </c>
      <c r="C562" t="s">
        <v>154</v>
      </c>
      <c r="D562" t="s">
        <v>139</v>
      </c>
      <c r="E562">
        <v>10</v>
      </c>
      <c r="F562">
        <v>20</v>
      </c>
      <c r="G562" cm="1">
        <f t="array" ref="G562">SALESTABLE[[#This Row],[Quantity]]*_xlfn.XLOOKUP(SALESTABLE[[#This Row],[Product_ID]],ProductsTable[Product_ID],ProductsTable[Unit_Price],WAASIU,0,1)</f>
        <v>4571.1000000000004</v>
      </c>
      <c r="H562" cm="1">
        <f t="array" ref="H562">SALESTABLE[[#This Row],[Quantity]]*_xlfn.XLOOKUP(SALESTABLE[[#This Row],[Product_ID]],ProductsTable[Product_ID],ProductsTable[Cost_Price],WAASIU,0,1)</f>
        <v>3275.2</v>
      </c>
      <c r="I562">
        <f>SALESTABLE[[#This Row],[Revenue]]-SALESTABLE[[#This Row],[COST]]</f>
        <v>1295.9000000000005</v>
      </c>
      <c r="J562">
        <f>SALESTABLE[[#This Row],[PROFIT]]/SALESTABLE[[#This Row],[Revenue]]*100</f>
        <v>28.349850145479216</v>
      </c>
    </row>
    <row r="563" spans="1:10" x14ac:dyDescent="0.35">
      <c r="A563" t="s">
        <v>697</v>
      </c>
      <c r="B563" s="4">
        <v>45142</v>
      </c>
      <c r="C563" t="s">
        <v>167</v>
      </c>
      <c r="D563" t="s">
        <v>107</v>
      </c>
      <c r="E563">
        <v>6</v>
      </c>
      <c r="F563">
        <v>15</v>
      </c>
      <c r="G563" cm="1">
        <f t="array" ref="G563">SALESTABLE[[#This Row],[Quantity]]*_xlfn.XLOOKUP(SALESTABLE[[#This Row],[Product_ID]],ProductsTable[Product_ID],ProductsTable[Unit_Price],WAASIU,0,1)</f>
        <v>390.06000000000006</v>
      </c>
      <c r="H563" cm="1">
        <f t="array" ref="H563">SALESTABLE[[#This Row],[Quantity]]*_xlfn.XLOOKUP(SALESTABLE[[#This Row],[Product_ID]],ProductsTable[Product_ID],ProductsTable[Cost_Price],WAASIU,0,1)</f>
        <v>220.98</v>
      </c>
      <c r="I563">
        <f>SALESTABLE[[#This Row],[Revenue]]-SALESTABLE[[#This Row],[COST]]</f>
        <v>169.08000000000007</v>
      </c>
      <c r="J563">
        <f>SALESTABLE[[#This Row],[PROFIT]]/SALESTABLE[[#This Row],[Revenue]]*100</f>
        <v>43.347177357329656</v>
      </c>
    </row>
    <row r="564" spans="1:10" x14ac:dyDescent="0.35">
      <c r="A564" t="s">
        <v>698</v>
      </c>
      <c r="B564" s="4">
        <v>44934</v>
      </c>
      <c r="C564" t="s">
        <v>86</v>
      </c>
      <c r="D564" t="s">
        <v>22</v>
      </c>
      <c r="E564">
        <v>15</v>
      </c>
      <c r="F564">
        <v>15</v>
      </c>
      <c r="G564" cm="1">
        <f t="array" ref="G564">SALESTABLE[[#This Row],[Quantity]]*_xlfn.XLOOKUP(SALESTABLE[[#This Row],[Product_ID]],ProductsTable[Product_ID],ProductsTable[Unit_Price],WAASIU,0,1)</f>
        <v>6295.05</v>
      </c>
      <c r="H564" cm="1">
        <f t="array" ref="H564">SALESTABLE[[#This Row],[Quantity]]*_xlfn.XLOOKUP(SALESTABLE[[#This Row],[Product_ID]],ProductsTable[Product_ID],ProductsTable[Cost_Price],WAASIU,0,1)</f>
        <v>3201.2999999999997</v>
      </c>
      <c r="I564">
        <f>SALESTABLE[[#This Row],[Revenue]]-SALESTABLE[[#This Row],[COST]]</f>
        <v>3093.7500000000005</v>
      </c>
      <c r="J564">
        <f>SALESTABLE[[#This Row],[PROFIT]]/SALESTABLE[[#This Row],[Revenue]]*100</f>
        <v>49.145757380799203</v>
      </c>
    </row>
    <row r="565" spans="1:10" x14ac:dyDescent="0.35">
      <c r="A565" t="s">
        <v>699</v>
      </c>
      <c r="B565" s="4">
        <v>45484</v>
      </c>
      <c r="C565" t="s">
        <v>30</v>
      </c>
      <c r="D565" t="s">
        <v>133</v>
      </c>
      <c r="E565">
        <v>17</v>
      </c>
      <c r="F565">
        <v>0</v>
      </c>
      <c r="G565" cm="1">
        <f t="array" ref="G565">SALESTABLE[[#This Row],[Quantity]]*_xlfn.XLOOKUP(SALESTABLE[[#This Row],[Product_ID]],ProductsTable[Product_ID],ProductsTable[Unit_Price],WAASIU,0,1)</f>
        <v>5967</v>
      </c>
      <c r="H565" cm="1">
        <f t="array" ref="H565">SALESTABLE[[#This Row],[Quantity]]*_xlfn.XLOOKUP(SALESTABLE[[#This Row],[Product_ID]],ProductsTable[Product_ID],ProductsTable[Cost_Price],WAASIU,0,1)</f>
        <v>3971.71</v>
      </c>
      <c r="I565">
        <f>SALESTABLE[[#This Row],[Revenue]]-SALESTABLE[[#This Row],[COST]]</f>
        <v>1995.29</v>
      </c>
      <c r="J565">
        <f>SALESTABLE[[#This Row],[PROFIT]]/SALESTABLE[[#This Row],[Revenue]]*100</f>
        <v>33.438746438746435</v>
      </c>
    </row>
    <row r="566" spans="1:10" x14ac:dyDescent="0.35">
      <c r="A566" t="s">
        <v>700</v>
      </c>
      <c r="B566" s="4">
        <v>45114</v>
      </c>
      <c r="C566" t="s">
        <v>154</v>
      </c>
      <c r="D566" t="s">
        <v>127</v>
      </c>
      <c r="E566">
        <v>16</v>
      </c>
      <c r="F566">
        <v>10</v>
      </c>
      <c r="G566" cm="1">
        <f t="array" ref="G566">SALESTABLE[[#This Row],[Quantity]]*_xlfn.XLOOKUP(SALESTABLE[[#This Row],[Product_ID]],ProductsTable[Product_ID],ProductsTable[Unit_Price],WAASIU,0,1)</f>
        <v>1473.12</v>
      </c>
      <c r="H566" cm="1">
        <f t="array" ref="H566">SALESTABLE[[#This Row],[Quantity]]*_xlfn.XLOOKUP(SALESTABLE[[#This Row],[Product_ID]],ProductsTable[Product_ID],ProductsTable[Cost_Price],WAASIU,0,1)</f>
        <v>901.76</v>
      </c>
      <c r="I566">
        <f>SALESTABLE[[#This Row],[Revenue]]-SALESTABLE[[#This Row],[COST]]</f>
        <v>571.3599999999999</v>
      </c>
      <c r="J566">
        <f>SALESTABLE[[#This Row],[PROFIT]]/SALESTABLE[[#This Row],[Revenue]]*100</f>
        <v>38.785706527642006</v>
      </c>
    </row>
    <row r="567" spans="1:10" x14ac:dyDescent="0.35">
      <c r="A567" t="s">
        <v>701</v>
      </c>
      <c r="B567" s="4">
        <v>45647</v>
      </c>
      <c r="C567" t="s">
        <v>356</v>
      </c>
      <c r="D567" t="s">
        <v>16</v>
      </c>
      <c r="E567">
        <v>13</v>
      </c>
      <c r="F567">
        <v>10</v>
      </c>
      <c r="G567" cm="1">
        <f t="array" ref="G567">SALESTABLE[[#This Row],[Quantity]]*_xlfn.XLOOKUP(SALESTABLE[[#This Row],[Product_ID]],ProductsTable[Product_ID],ProductsTable[Unit_Price],WAASIU,0,1)</f>
        <v>4708.21</v>
      </c>
      <c r="H567" cm="1">
        <f t="array" ref="H567">SALESTABLE[[#This Row],[Quantity]]*_xlfn.XLOOKUP(SALESTABLE[[#This Row],[Product_ID]],ProductsTable[Product_ID],ProductsTable[Cost_Price],WAASIU,0,1)</f>
        <v>3033.94</v>
      </c>
      <c r="I567">
        <f>SALESTABLE[[#This Row],[Revenue]]-SALESTABLE[[#This Row],[COST]]</f>
        <v>1674.27</v>
      </c>
      <c r="J567">
        <f>SALESTABLE[[#This Row],[PROFIT]]/SALESTABLE[[#This Row],[Revenue]]*100</f>
        <v>35.560648314327523</v>
      </c>
    </row>
    <row r="568" spans="1:10" x14ac:dyDescent="0.35">
      <c r="A568" t="s">
        <v>702</v>
      </c>
      <c r="B568" s="4">
        <v>45329</v>
      </c>
      <c r="C568" t="s">
        <v>181</v>
      </c>
      <c r="D568" t="s">
        <v>139</v>
      </c>
      <c r="E568">
        <v>18</v>
      </c>
      <c r="F568">
        <v>0</v>
      </c>
      <c r="G568" cm="1">
        <f t="array" ref="G568">SALESTABLE[[#This Row],[Quantity]]*_xlfn.XLOOKUP(SALESTABLE[[#This Row],[Product_ID]],ProductsTable[Product_ID],ProductsTable[Unit_Price],WAASIU,0,1)</f>
        <v>8227.98</v>
      </c>
      <c r="H568" cm="1">
        <f t="array" ref="H568">SALESTABLE[[#This Row],[Quantity]]*_xlfn.XLOOKUP(SALESTABLE[[#This Row],[Product_ID]],ProductsTable[Product_ID],ProductsTable[Cost_Price],WAASIU,0,1)</f>
        <v>5895.36</v>
      </c>
      <c r="I568">
        <f>SALESTABLE[[#This Row],[Revenue]]-SALESTABLE[[#This Row],[COST]]</f>
        <v>2332.62</v>
      </c>
      <c r="J568">
        <f>SALESTABLE[[#This Row],[PROFIT]]/SALESTABLE[[#This Row],[Revenue]]*100</f>
        <v>28.349850145479206</v>
      </c>
    </row>
    <row r="569" spans="1:10" x14ac:dyDescent="0.35">
      <c r="A569" t="s">
        <v>703</v>
      </c>
      <c r="B569" s="4">
        <v>45172</v>
      </c>
      <c r="C569" t="s">
        <v>289</v>
      </c>
      <c r="D569" t="s">
        <v>44</v>
      </c>
      <c r="E569">
        <v>15</v>
      </c>
      <c r="F569">
        <v>20</v>
      </c>
      <c r="G569" cm="1">
        <f t="array" ref="G569">SALESTABLE[[#This Row],[Quantity]]*_xlfn.XLOOKUP(SALESTABLE[[#This Row],[Product_ID]],ProductsTable[Product_ID],ProductsTable[Unit_Price],WAASIU,0,1)</f>
        <v>2012.85</v>
      </c>
      <c r="H569" cm="1">
        <f t="array" ref="H569">SALESTABLE[[#This Row],[Quantity]]*_xlfn.XLOOKUP(SALESTABLE[[#This Row],[Product_ID]],ProductsTable[Product_ID],ProductsTable[Cost_Price],WAASIU,0,1)</f>
        <v>1249.8</v>
      </c>
      <c r="I569">
        <f>SALESTABLE[[#This Row],[Revenue]]-SALESTABLE[[#This Row],[COST]]</f>
        <v>763.05</v>
      </c>
      <c r="J569">
        <f>SALESTABLE[[#This Row],[PROFIT]]/SALESTABLE[[#This Row],[Revenue]]*100</f>
        <v>37.908935092033687</v>
      </c>
    </row>
    <row r="570" spans="1:10" x14ac:dyDescent="0.35">
      <c r="A570" t="s">
        <v>704</v>
      </c>
      <c r="B570" s="4">
        <v>44992</v>
      </c>
      <c r="C570" t="s">
        <v>99</v>
      </c>
      <c r="D570" t="s">
        <v>93</v>
      </c>
      <c r="E570">
        <v>20</v>
      </c>
      <c r="F570">
        <v>20</v>
      </c>
      <c r="G570" cm="1">
        <f t="array" ref="G570">SALESTABLE[[#This Row],[Quantity]]*_xlfn.XLOOKUP(SALESTABLE[[#This Row],[Product_ID]],ProductsTable[Product_ID],ProductsTable[Unit_Price],WAASIU,0,1)</f>
        <v>4280.6000000000004</v>
      </c>
      <c r="H570" cm="1">
        <f t="array" ref="H570">SALESTABLE[[#This Row],[Quantity]]*_xlfn.XLOOKUP(SALESTABLE[[#This Row],[Product_ID]],ProductsTable[Product_ID],ProductsTable[Cost_Price],WAASIU,0,1)</f>
        <v>3134.2000000000003</v>
      </c>
      <c r="I570">
        <f>SALESTABLE[[#This Row],[Revenue]]-SALESTABLE[[#This Row],[COST]]</f>
        <v>1146.4000000000001</v>
      </c>
      <c r="J570">
        <f>SALESTABLE[[#This Row],[PROFIT]]/SALESTABLE[[#This Row],[Revenue]]*100</f>
        <v>26.781292342195016</v>
      </c>
    </row>
    <row r="571" spans="1:10" x14ac:dyDescent="0.35">
      <c r="A571" t="s">
        <v>705</v>
      </c>
      <c r="B571" s="4">
        <v>45353</v>
      </c>
      <c r="C571" t="s">
        <v>306</v>
      </c>
      <c r="D571" t="s">
        <v>49</v>
      </c>
      <c r="E571">
        <v>8</v>
      </c>
      <c r="F571">
        <v>0</v>
      </c>
      <c r="G571" cm="1">
        <f t="array" ref="G571">SALESTABLE[[#This Row],[Quantity]]*_xlfn.XLOOKUP(SALESTABLE[[#This Row],[Product_ID]],ProductsTable[Product_ID],ProductsTable[Unit_Price],WAASIU,0,1)</f>
        <v>1837.04</v>
      </c>
      <c r="H571" cm="1">
        <f t="array" ref="H571">SALESTABLE[[#This Row],[Quantity]]*_xlfn.XLOOKUP(SALESTABLE[[#This Row],[Product_ID]],ProductsTable[Product_ID],ProductsTable[Cost_Price],WAASIU,0,1)</f>
        <v>1051.3599999999999</v>
      </c>
      <c r="I571">
        <f>SALESTABLE[[#This Row],[Revenue]]-SALESTABLE[[#This Row],[COST]]</f>
        <v>785.68000000000006</v>
      </c>
      <c r="J571">
        <f>SALESTABLE[[#This Row],[PROFIT]]/SALESTABLE[[#This Row],[Revenue]]*100</f>
        <v>42.76880198580325</v>
      </c>
    </row>
    <row r="572" spans="1:10" x14ac:dyDescent="0.35">
      <c r="A572" t="s">
        <v>706</v>
      </c>
      <c r="B572" s="4">
        <v>45105</v>
      </c>
      <c r="C572" t="s">
        <v>301</v>
      </c>
      <c r="D572" t="s">
        <v>22</v>
      </c>
      <c r="E572">
        <v>7</v>
      </c>
      <c r="F572">
        <v>20</v>
      </c>
      <c r="G572" cm="1">
        <f t="array" ref="G572">SALESTABLE[[#This Row],[Quantity]]*_xlfn.XLOOKUP(SALESTABLE[[#This Row],[Product_ID]],ProductsTable[Product_ID],ProductsTable[Unit_Price],WAASIU,0,1)</f>
        <v>2937.69</v>
      </c>
      <c r="H572" cm="1">
        <f t="array" ref="H572">SALESTABLE[[#This Row],[Quantity]]*_xlfn.XLOOKUP(SALESTABLE[[#This Row],[Product_ID]],ProductsTable[Product_ID],ProductsTable[Cost_Price],WAASIU,0,1)</f>
        <v>1493.9399999999998</v>
      </c>
      <c r="I572">
        <f>SALESTABLE[[#This Row],[Revenue]]-SALESTABLE[[#This Row],[COST]]</f>
        <v>1443.7500000000002</v>
      </c>
      <c r="J572">
        <f>SALESTABLE[[#This Row],[PROFIT]]/SALESTABLE[[#This Row],[Revenue]]*100</f>
        <v>49.145757380799203</v>
      </c>
    </row>
    <row r="573" spans="1:10" x14ac:dyDescent="0.35">
      <c r="A573" t="s">
        <v>707</v>
      </c>
      <c r="B573" s="4">
        <v>45392</v>
      </c>
      <c r="C573" t="s">
        <v>79</v>
      </c>
      <c r="D573" t="s">
        <v>137</v>
      </c>
      <c r="E573">
        <v>5</v>
      </c>
      <c r="F573">
        <v>15</v>
      </c>
      <c r="G573" cm="1">
        <f t="array" ref="G573">SALESTABLE[[#This Row],[Quantity]]*_xlfn.XLOOKUP(SALESTABLE[[#This Row],[Product_ID]],ProductsTable[Product_ID],ProductsTable[Unit_Price],WAASIU,0,1)</f>
        <v>1817.2</v>
      </c>
      <c r="H573" cm="1">
        <f t="array" ref="H573">SALESTABLE[[#This Row],[Quantity]]*_xlfn.XLOOKUP(SALESTABLE[[#This Row],[Product_ID]],ProductsTable[Product_ID],ProductsTable[Cost_Price],WAASIU,0,1)</f>
        <v>1250.25</v>
      </c>
      <c r="I573">
        <f>SALESTABLE[[#This Row],[Revenue]]-SALESTABLE[[#This Row],[COST]]</f>
        <v>566.95000000000005</v>
      </c>
      <c r="J573">
        <f>SALESTABLE[[#This Row],[PROFIT]]/SALESTABLE[[#This Row],[Revenue]]*100</f>
        <v>31.199097512656838</v>
      </c>
    </row>
    <row r="574" spans="1:10" x14ac:dyDescent="0.35">
      <c r="A574" t="s">
        <v>708</v>
      </c>
      <c r="B574" s="4">
        <v>45351</v>
      </c>
      <c r="C574" t="s">
        <v>38</v>
      </c>
      <c r="D574" t="s">
        <v>113</v>
      </c>
      <c r="E574">
        <v>5</v>
      </c>
      <c r="F574">
        <v>5</v>
      </c>
      <c r="G574" cm="1">
        <f t="array" ref="G574">SALESTABLE[[#This Row],[Quantity]]*_xlfn.XLOOKUP(SALESTABLE[[#This Row],[Product_ID]],ProductsTable[Product_ID],ProductsTable[Unit_Price],WAASIU,0,1)</f>
        <v>1685.4499999999998</v>
      </c>
      <c r="H574" cm="1">
        <f t="array" ref="H574">SALESTABLE[[#This Row],[Quantity]]*_xlfn.XLOOKUP(SALESTABLE[[#This Row],[Product_ID]],ProductsTable[Product_ID],ProductsTable[Cost_Price],WAASIU,0,1)</f>
        <v>932.05</v>
      </c>
      <c r="I574">
        <f>SALESTABLE[[#This Row],[Revenue]]-SALESTABLE[[#This Row],[COST]]</f>
        <v>753.39999999999986</v>
      </c>
      <c r="J574">
        <f>SALESTABLE[[#This Row],[PROFIT]]/SALESTABLE[[#This Row],[Revenue]]*100</f>
        <v>44.700228425643004</v>
      </c>
    </row>
    <row r="575" spans="1:10" x14ac:dyDescent="0.35">
      <c r="A575" t="s">
        <v>709</v>
      </c>
      <c r="B575" s="4">
        <v>45247</v>
      </c>
      <c r="C575" t="s">
        <v>318</v>
      </c>
      <c r="D575" t="s">
        <v>125</v>
      </c>
      <c r="E575">
        <v>1</v>
      </c>
      <c r="F575">
        <v>20</v>
      </c>
      <c r="G575" cm="1">
        <f t="array" ref="G575">SALESTABLE[[#This Row],[Quantity]]*_xlfn.XLOOKUP(SALESTABLE[[#This Row],[Product_ID]],ProductsTable[Product_ID],ProductsTable[Unit_Price],WAASIU,0,1)</f>
        <v>334.7</v>
      </c>
      <c r="H575" cm="1">
        <f t="array" ref="H575">SALESTABLE[[#This Row],[Quantity]]*_xlfn.XLOOKUP(SALESTABLE[[#This Row],[Product_ID]],ProductsTable[Product_ID],ProductsTable[Cost_Price],WAASIU,0,1)</f>
        <v>249.52</v>
      </c>
      <c r="I575">
        <f>SALESTABLE[[#This Row],[Revenue]]-SALESTABLE[[#This Row],[COST]]</f>
        <v>85.179999999999978</v>
      </c>
      <c r="J575">
        <f>SALESTABLE[[#This Row],[PROFIT]]/SALESTABLE[[#This Row],[Revenue]]*100</f>
        <v>25.449656408724223</v>
      </c>
    </row>
    <row r="576" spans="1:10" x14ac:dyDescent="0.35">
      <c r="A576" t="s">
        <v>710</v>
      </c>
      <c r="B576" s="4">
        <v>45452</v>
      </c>
      <c r="C576" t="s">
        <v>38</v>
      </c>
      <c r="D576" t="s">
        <v>74</v>
      </c>
      <c r="E576">
        <v>19</v>
      </c>
      <c r="F576">
        <v>5</v>
      </c>
      <c r="G576" cm="1">
        <f t="array" ref="G576">SALESTABLE[[#This Row],[Quantity]]*_xlfn.XLOOKUP(SALESTABLE[[#This Row],[Product_ID]],ProductsTable[Product_ID],ProductsTable[Unit_Price],WAASIU,0,1)</f>
        <v>817</v>
      </c>
      <c r="H576" cm="1">
        <f t="array" ref="H576">SALESTABLE[[#This Row],[Quantity]]*_xlfn.XLOOKUP(SALESTABLE[[#This Row],[Product_ID]],ProductsTable[Product_ID],ProductsTable[Cost_Price],WAASIU,0,1)</f>
        <v>570.95000000000005</v>
      </c>
      <c r="I576">
        <f>SALESTABLE[[#This Row],[Revenue]]-SALESTABLE[[#This Row],[COST]]</f>
        <v>246.04999999999995</v>
      </c>
      <c r="J576">
        <f>SALESTABLE[[#This Row],[PROFIT]]/SALESTABLE[[#This Row],[Revenue]]*100</f>
        <v>30.116279069767437</v>
      </c>
    </row>
    <row r="577" spans="1:10" x14ac:dyDescent="0.35">
      <c r="A577" t="s">
        <v>711</v>
      </c>
      <c r="B577" s="4">
        <v>45504</v>
      </c>
      <c r="C577" t="s">
        <v>69</v>
      </c>
      <c r="D577" t="s">
        <v>8</v>
      </c>
      <c r="E577">
        <v>2</v>
      </c>
      <c r="F577">
        <v>0</v>
      </c>
      <c r="G577" cm="1">
        <f t="array" ref="G577">SALESTABLE[[#This Row],[Quantity]]*_xlfn.XLOOKUP(SALESTABLE[[#This Row],[Product_ID]],ProductsTable[Product_ID],ProductsTable[Unit_Price],WAASIU,0,1)</f>
        <v>672.64</v>
      </c>
      <c r="H577" cm="1">
        <f t="array" ref="H577">SALESTABLE[[#This Row],[Quantity]]*_xlfn.XLOOKUP(SALESTABLE[[#This Row],[Product_ID]],ProductsTable[Product_ID],ProductsTable[Cost_Price],WAASIU,0,1)</f>
        <v>455.56</v>
      </c>
      <c r="I577">
        <f>SALESTABLE[[#This Row],[Revenue]]-SALESTABLE[[#This Row],[COST]]</f>
        <v>217.07999999999998</v>
      </c>
      <c r="J577">
        <f>SALESTABLE[[#This Row],[PROFIT]]/SALESTABLE[[#This Row],[Revenue]]*100</f>
        <v>32.272835394862028</v>
      </c>
    </row>
    <row r="578" spans="1:10" x14ac:dyDescent="0.35">
      <c r="A578" t="s">
        <v>712</v>
      </c>
      <c r="B578" s="4">
        <v>45200</v>
      </c>
      <c r="C578" t="s">
        <v>154</v>
      </c>
      <c r="D578" t="s">
        <v>41</v>
      </c>
      <c r="E578">
        <v>19</v>
      </c>
      <c r="F578">
        <v>0</v>
      </c>
      <c r="G578" cm="1">
        <f t="array" ref="G578">SALESTABLE[[#This Row],[Quantity]]*_xlfn.XLOOKUP(SALESTABLE[[#This Row],[Product_ID]],ProductsTable[Product_ID],ProductsTable[Unit_Price],WAASIU,0,1)</f>
        <v>8089.25</v>
      </c>
      <c r="H578" cm="1">
        <f t="array" ref="H578">SALESTABLE[[#This Row],[Quantity]]*_xlfn.XLOOKUP(SALESTABLE[[#This Row],[Product_ID]],ProductsTable[Product_ID],ProductsTable[Cost_Price],WAASIU,0,1)</f>
        <v>4619.47</v>
      </c>
      <c r="I578">
        <f>SALESTABLE[[#This Row],[Revenue]]-SALESTABLE[[#This Row],[COST]]</f>
        <v>3469.7799999999997</v>
      </c>
      <c r="J578">
        <f>SALESTABLE[[#This Row],[PROFIT]]/SALESTABLE[[#This Row],[Revenue]]*100</f>
        <v>42.893716970052843</v>
      </c>
    </row>
    <row r="579" spans="1:10" x14ac:dyDescent="0.35">
      <c r="A579" t="s">
        <v>713</v>
      </c>
      <c r="B579" s="4">
        <v>45019</v>
      </c>
      <c r="C579" t="s">
        <v>33</v>
      </c>
      <c r="D579" t="s">
        <v>52</v>
      </c>
      <c r="E579">
        <v>9</v>
      </c>
      <c r="F579">
        <v>5</v>
      </c>
      <c r="G579" cm="1">
        <f t="array" ref="G579">SALESTABLE[[#This Row],[Quantity]]*_xlfn.XLOOKUP(SALESTABLE[[#This Row],[Product_ID]],ProductsTable[Product_ID],ProductsTable[Unit_Price],WAASIU,0,1)</f>
        <v>1654.02</v>
      </c>
      <c r="H579" cm="1">
        <f t="array" ref="H579">SALESTABLE[[#This Row],[Quantity]]*_xlfn.XLOOKUP(SALESTABLE[[#This Row],[Product_ID]],ProductsTable[Product_ID],ProductsTable[Cost_Price],WAASIU,0,1)</f>
        <v>1040.67</v>
      </c>
      <c r="I579">
        <f>SALESTABLE[[#This Row],[Revenue]]-SALESTABLE[[#This Row],[COST]]</f>
        <v>613.34999999999991</v>
      </c>
      <c r="J579">
        <f>SALESTABLE[[#This Row],[PROFIT]]/SALESTABLE[[#This Row],[Revenue]]*100</f>
        <v>37.082381107846338</v>
      </c>
    </row>
    <row r="580" spans="1:10" x14ac:dyDescent="0.35">
      <c r="A580" t="s">
        <v>714</v>
      </c>
      <c r="B580" s="4">
        <v>45508</v>
      </c>
      <c r="C580" t="s">
        <v>18</v>
      </c>
      <c r="D580" t="s">
        <v>93</v>
      </c>
      <c r="E580">
        <v>13</v>
      </c>
      <c r="F580">
        <v>10</v>
      </c>
      <c r="G580" cm="1">
        <f t="array" ref="G580">SALESTABLE[[#This Row],[Quantity]]*_xlfn.XLOOKUP(SALESTABLE[[#This Row],[Product_ID]],ProductsTable[Product_ID],ProductsTable[Unit_Price],WAASIU,0,1)</f>
        <v>2782.39</v>
      </c>
      <c r="H580" cm="1">
        <f t="array" ref="H580">SALESTABLE[[#This Row],[Quantity]]*_xlfn.XLOOKUP(SALESTABLE[[#This Row],[Product_ID]],ProductsTable[Product_ID],ProductsTable[Cost_Price],WAASIU,0,1)</f>
        <v>2037.23</v>
      </c>
      <c r="I580">
        <f>SALESTABLE[[#This Row],[Revenue]]-SALESTABLE[[#This Row],[COST]]</f>
        <v>745.15999999999985</v>
      </c>
      <c r="J580">
        <f>SALESTABLE[[#This Row],[PROFIT]]/SALESTABLE[[#This Row],[Revenue]]*100</f>
        <v>26.781292342195016</v>
      </c>
    </row>
    <row r="581" spans="1:10" x14ac:dyDescent="0.35">
      <c r="A581" t="s">
        <v>715</v>
      </c>
      <c r="B581" s="4">
        <v>45343</v>
      </c>
      <c r="C581" t="s">
        <v>46</v>
      </c>
      <c r="D581" t="s">
        <v>137</v>
      </c>
      <c r="E581">
        <v>5</v>
      </c>
      <c r="F581">
        <v>15</v>
      </c>
      <c r="G581" cm="1">
        <f t="array" ref="G581">SALESTABLE[[#This Row],[Quantity]]*_xlfn.XLOOKUP(SALESTABLE[[#This Row],[Product_ID]],ProductsTable[Product_ID],ProductsTable[Unit_Price],WAASIU,0,1)</f>
        <v>1817.2</v>
      </c>
      <c r="H581" cm="1">
        <f t="array" ref="H581">SALESTABLE[[#This Row],[Quantity]]*_xlfn.XLOOKUP(SALESTABLE[[#This Row],[Product_ID]],ProductsTable[Product_ID],ProductsTable[Cost_Price],WAASIU,0,1)</f>
        <v>1250.25</v>
      </c>
      <c r="I581">
        <f>SALESTABLE[[#This Row],[Revenue]]-SALESTABLE[[#This Row],[COST]]</f>
        <v>566.95000000000005</v>
      </c>
      <c r="J581">
        <f>SALESTABLE[[#This Row],[PROFIT]]/SALESTABLE[[#This Row],[Revenue]]*100</f>
        <v>31.199097512656838</v>
      </c>
    </row>
    <row r="582" spans="1:10" x14ac:dyDescent="0.35">
      <c r="A582" t="s">
        <v>716</v>
      </c>
      <c r="B582" s="4">
        <v>45410</v>
      </c>
      <c r="C582" t="s">
        <v>195</v>
      </c>
      <c r="D582" t="s">
        <v>41</v>
      </c>
      <c r="E582">
        <v>7</v>
      </c>
      <c r="F582">
        <v>10</v>
      </c>
      <c r="G582" cm="1">
        <f t="array" ref="G582">SALESTABLE[[#This Row],[Quantity]]*_xlfn.XLOOKUP(SALESTABLE[[#This Row],[Product_ID]],ProductsTable[Product_ID],ProductsTable[Unit_Price],WAASIU,0,1)</f>
        <v>2980.25</v>
      </c>
      <c r="H582" cm="1">
        <f t="array" ref="H582">SALESTABLE[[#This Row],[Quantity]]*_xlfn.XLOOKUP(SALESTABLE[[#This Row],[Product_ID]],ProductsTable[Product_ID],ProductsTable[Cost_Price],WAASIU,0,1)</f>
        <v>1701.9099999999999</v>
      </c>
      <c r="I582">
        <f>SALESTABLE[[#This Row],[Revenue]]-SALESTABLE[[#This Row],[COST]]</f>
        <v>1278.3400000000001</v>
      </c>
      <c r="J582">
        <f>SALESTABLE[[#This Row],[PROFIT]]/SALESTABLE[[#This Row],[Revenue]]*100</f>
        <v>42.89371697005285</v>
      </c>
    </row>
    <row r="583" spans="1:10" x14ac:dyDescent="0.35">
      <c r="A583" t="s">
        <v>717</v>
      </c>
      <c r="B583" s="4">
        <v>45127</v>
      </c>
      <c r="C583" t="s">
        <v>36</v>
      </c>
      <c r="D583" t="s">
        <v>127</v>
      </c>
      <c r="E583">
        <v>1</v>
      </c>
      <c r="F583">
        <v>5</v>
      </c>
      <c r="G583" cm="1">
        <f t="array" ref="G583">SALESTABLE[[#This Row],[Quantity]]*_xlfn.XLOOKUP(SALESTABLE[[#This Row],[Product_ID]],ProductsTable[Product_ID],ProductsTable[Unit_Price],WAASIU,0,1)</f>
        <v>92.07</v>
      </c>
      <c r="H583" cm="1">
        <f t="array" ref="H583">SALESTABLE[[#This Row],[Quantity]]*_xlfn.XLOOKUP(SALESTABLE[[#This Row],[Product_ID]],ProductsTable[Product_ID],ProductsTable[Cost_Price],WAASIU,0,1)</f>
        <v>56.36</v>
      </c>
      <c r="I583">
        <f>SALESTABLE[[#This Row],[Revenue]]-SALESTABLE[[#This Row],[COST]]</f>
        <v>35.709999999999994</v>
      </c>
      <c r="J583">
        <f>SALESTABLE[[#This Row],[PROFIT]]/SALESTABLE[[#This Row],[Revenue]]*100</f>
        <v>38.785706527642006</v>
      </c>
    </row>
    <row r="584" spans="1:10" x14ac:dyDescent="0.35">
      <c r="A584" t="s">
        <v>718</v>
      </c>
      <c r="B584" s="4">
        <v>45011</v>
      </c>
      <c r="C584" t="s">
        <v>245</v>
      </c>
      <c r="D584" t="s">
        <v>137</v>
      </c>
      <c r="E584">
        <v>8</v>
      </c>
      <c r="F584">
        <v>0</v>
      </c>
      <c r="G584" cm="1">
        <f t="array" ref="G584">SALESTABLE[[#This Row],[Quantity]]*_xlfn.XLOOKUP(SALESTABLE[[#This Row],[Product_ID]],ProductsTable[Product_ID],ProductsTable[Unit_Price],WAASIU,0,1)</f>
        <v>2907.52</v>
      </c>
      <c r="H584" cm="1">
        <f t="array" ref="H584">SALESTABLE[[#This Row],[Quantity]]*_xlfn.XLOOKUP(SALESTABLE[[#This Row],[Product_ID]],ProductsTable[Product_ID],ProductsTable[Cost_Price],WAASIU,0,1)</f>
        <v>2000.4</v>
      </c>
      <c r="I584">
        <f>SALESTABLE[[#This Row],[Revenue]]-SALESTABLE[[#This Row],[COST]]</f>
        <v>907.11999999999989</v>
      </c>
      <c r="J584">
        <f>SALESTABLE[[#This Row],[PROFIT]]/SALESTABLE[[#This Row],[Revenue]]*100</f>
        <v>31.199097512656831</v>
      </c>
    </row>
    <row r="585" spans="1:10" x14ac:dyDescent="0.35">
      <c r="A585" t="s">
        <v>719</v>
      </c>
      <c r="B585" s="4">
        <v>45068</v>
      </c>
      <c r="C585" t="s">
        <v>27</v>
      </c>
      <c r="D585" t="s">
        <v>113</v>
      </c>
      <c r="E585">
        <v>17</v>
      </c>
      <c r="F585">
        <v>10</v>
      </c>
      <c r="G585" cm="1">
        <f t="array" ref="G585">SALESTABLE[[#This Row],[Quantity]]*_xlfn.XLOOKUP(SALESTABLE[[#This Row],[Product_ID]],ProductsTable[Product_ID],ProductsTable[Unit_Price],WAASIU,0,1)</f>
        <v>5730.53</v>
      </c>
      <c r="H585" cm="1">
        <f t="array" ref="H585">SALESTABLE[[#This Row],[Quantity]]*_xlfn.XLOOKUP(SALESTABLE[[#This Row],[Product_ID]],ProductsTable[Product_ID],ProductsTable[Cost_Price],WAASIU,0,1)</f>
        <v>3168.97</v>
      </c>
      <c r="I585">
        <f>SALESTABLE[[#This Row],[Revenue]]-SALESTABLE[[#This Row],[COST]]</f>
        <v>2561.56</v>
      </c>
      <c r="J585">
        <f>SALESTABLE[[#This Row],[PROFIT]]/SALESTABLE[[#This Row],[Revenue]]*100</f>
        <v>44.700228425643004</v>
      </c>
    </row>
    <row r="586" spans="1:10" x14ac:dyDescent="0.35">
      <c r="A586" t="s">
        <v>720</v>
      </c>
      <c r="B586" s="4">
        <v>45175</v>
      </c>
      <c r="C586" t="s">
        <v>270</v>
      </c>
      <c r="D586" t="s">
        <v>28</v>
      </c>
      <c r="E586">
        <v>20</v>
      </c>
      <c r="F586">
        <v>10</v>
      </c>
      <c r="G586" cm="1">
        <f t="array" ref="G586">SALESTABLE[[#This Row],[Quantity]]*_xlfn.XLOOKUP(SALESTABLE[[#This Row],[Product_ID]],ProductsTable[Product_ID],ProductsTable[Unit_Price],WAASIU,0,1)</f>
        <v>8509.6</v>
      </c>
      <c r="H586" cm="1">
        <f t="array" ref="H586">SALESTABLE[[#This Row],[Quantity]]*_xlfn.XLOOKUP(SALESTABLE[[#This Row],[Product_ID]],ProductsTable[Product_ID],ProductsTable[Cost_Price],WAASIU,0,1)</f>
        <v>4669.5999999999995</v>
      </c>
      <c r="I586">
        <f>SALESTABLE[[#This Row],[Revenue]]-SALESTABLE[[#This Row],[COST]]</f>
        <v>3840.0000000000009</v>
      </c>
      <c r="J586">
        <f>SALESTABLE[[#This Row],[PROFIT]]/SALESTABLE[[#This Row],[Revenue]]*100</f>
        <v>45.125505311648027</v>
      </c>
    </row>
    <row r="587" spans="1:10" x14ac:dyDescent="0.35">
      <c r="A587" t="s">
        <v>721</v>
      </c>
      <c r="B587" s="4">
        <v>45031</v>
      </c>
      <c r="C587" t="s">
        <v>161</v>
      </c>
      <c r="D587" t="s">
        <v>31</v>
      </c>
      <c r="E587">
        <v>8</v>
      </c>
      <c r="F587">
        <v>10</v>
      </c>
      <c r="G587" cm="1">
        <f t="array" ref="G587">SALESTABLE[[#This Row],[Quantity]]*_xlfn.XLOOKUP(SALESTABLE[[#This Row],[Product_ID]],ProductsTable[Product_ID],ProductsTable[Unit_Price],WAASIU,0,1)</f>
        <v>1385.12</v>
      </c>
      <c r="H587" cm="1">
        <f t="array" ref="H587">SALESTABLE[[#This Row],[Quantity]]*_xlfn.XLOOKUP(SALESTABLE[[#This Row],[Product_ID]],ProductsTable[Product_ID],ProductsTable[Cost_Price],WAASIU,0,1)</f>
        <v>802.32</v>
      </c>
      <c r="I587">
        <f>SALESTABLE[[#This Row],[Revenue]]-SALESTABLE[[#This Row],[COST]]</f>
        <v>582.79999999999984</v>
      </c>
      <c r="J587">
        <f>SALESTABLE[[#This Row],[PROFIT]]/SALESTABLE[[#This Row],[Revenue]]*100</f>
        <v>42.075776828000457</v>
      </c>
    </row>
    <row r="588" spans="1:10" x14ac:dyDescent="0.35">
      <c r="A588" t="s">
        <v>722</v>
      </c>
      <c r="B588" s="4">
        <v>45039</v>
      </c>
      <c r="C588" t="s">
        <v>247</v>
      </c>
      <c r="D588" t="s">
        <v>41</v>
      </c>
      <c r="E588">
        <v>7</v>
      </c>
      <c r="F588">
        <v>10</v>
      </c>
      <c r="G588" cm="1">
        <f t="array" ref="G588">SALESTABLE[[#This Row],[Quantity]]*_xlfn.XLOOKUP(SALESTABLE[[#This Row],[Product_ID]],ProductsTable[Product_ID],ProductsTable[Unit_Price],WAASIU,0,1)</f>
        <v>2980.25</v>
      </c>
      <c r="H588" cm="1">
        <f t="array" ref="H588">SALESTABLE[[#This Row],[Quantity]]*_xlfn.XLOOKUP(SALESTABLE[[#This Row],[Product_ID]],ProductsTable[Product_ID],ProductsTable[Cost_Price],WAASIU,0,1)</f>
        <v>1701.9099999999999</v>
      </c>
      <c r="I588">
        <f>SALESTABLE[[#This Row],[Revenue]]-SALESTABLE[[#This Row],[COST]]</f>
        <v>1278.3400000000001</v>
      </c>
      <c r="J588">
        <f>SALESTABLE[[#This Row],[PROFIT]]/SALESTABLE[[#This Row],[Revenue]]*100</f>
        <v>42.89371697005285</v>
      </c>
    </row>
    <row r="589" spans="1:10" x14ac:dyDescent="0.35">
      <c r="A589" t="s">
        <v>723</v>
      </c>
      <c r="B589" s="4">
        <v>45018</v>
      </c>
      <c r="C589" t="s">
        <v>159</v>
      </c>
      <c r="D589" t="s">
        <v>137</v>
      </c>
      <c r="E589">
        <v>8</v>
      </c>
      <c r="F589">
        <v>20</v>
      </c>
      <c r="G589" cm="1">
        <f t="array" ref="G589">SALESTABLE[[#This Row],[Quantity]]*_xlfn.XLOOKUP(SALESTABLE[[#This Row],[Product_ID]],ProductsTable[Product_ID],ProductsTable[Unit_Price],WAASIU,0,1)</f>
        <v>2907.52</v>
      </c>
      <c r="H589" cm="1">
        <f t="array" ref="H589">SALESTABLE[[#This Row],[Quantity]]*_xlfn.XLOOKUP(SALESTABLE[[#This Row],[Product_ID]],ProductsTable[Product_ID],ProductsTable[Cost_Price],WAASIU,0,1)</f>
        <v>2000.4</v>
      </c>
      <c r="I589">
        <f>SALESTABLE[[#This Row],[Revenue]]-SALESTABLE[[#This Row],[COST]]</f>
        <v>907.11999999999989</v>
      </c>
      <c r="J589">
        <f>SALESTABLE[[#This Row],[PROFIT]]/SALESTABLE[[#This Row],[Revenue]]*100</f>
        <v>31.199097512656831</v>
      </c>
    </row>
    <row r="590" spans="1:10" x14ac:dyDescent="0.35">
      <c r="A590" t="s">
        <v>724</v>
      </c>
      <c r="B590" s="4">
        <v>45466</v>
      </c>
      <c r="C590" t="s">
        <v>76</v>
      </c>
      <c r="D590" t="s">
        <v>113</v>
      </c>
      <c r="E590">
        <v>3</v>
      </c>
      <c r="F590">
        <v>10</v>
      </c>
      <c r="G590" cm="1">
        <f t="array" ref="G590">SALESTABLE[[#This Row],[Quantity]]*_xlfn.XLOOKUP(SALESTABLE[[#This Row],[Product_ID]],ProductsTable[Product_ID],ProductsTable[Unit_Price],WAASIU,0,1)</f>
        <v>1011.27</v>
      </c>
      <c r="H590" cm="1">
        <f t="array" ref="H590">SALESTABLE[[#This Row],[Quantity]]*_xlfn.XLOOKUP(SALESTABLE[[#This Row],[Product_ID]],ProductsTable[Product_ID],ProductsTable[Cost_Price],WAASIU,0,1)</f>
        <v>559.23</v>
      </c>
      <c r="I590">
        <f>SALESTABLE[[#This Row],[Revenue]]-SALESTABLE[[#This Row],[COST]]</f>
        <v>452.03999999999996</v>
      </c>
      <c r="J590">
        <f>SALESTABLE[[#This Row],[PROFIT]]/SALESTABLE[[#This Row],[Revenue]]*100</f>
        <v>44.700228425643004</v>
      </c>
    </row>
    <row r="591" spans="1:10" x14ac:dyDescent="0.35">
      <c r="A591" t="s">
        <v>725</v>
      </c>
      <c r="B591" s="4">
        <v>45169</v>
      </c>
      <c r="C591" t="s">
        <v>79</v>
      </c>
      <c r="D591" t="s">
        <v>19</v>
      </c>
      <c r="E591">
        <v>11</v>
      </c>
      <c r="F591">
        <v>20</v>
      </c>
      <c r="G591" cm="1">
        <f t="array" ref="G591">SALESTABLE[[#This Row],[Quantity]]*_xlfn.XLOOKUP(SALESTABLE[[#This Row],[Product_ID]],ProductsTable[Product_ID],ProductsTable[Unit_Price],WAASIU,0,1)</f>
        <v>668.36</v>
      </c>
      <c r="H591" cm="1">
        <f t="array" ref="H591">SALESTABLE[[#This Row],[Quantity]]*_xlfn.XLOOKUP(SALESTABLE[[#This Row],[Product_ID]],ProductsTable[Product_ID],ProductsTable[Cost_Price],WAASIU,0,1)</f>
        <v>444.95000000000005</v>
      </c>
      <c r="I591">
        <f>SALESTABLE[[#This Row],[Revenue]]-SALESTABLE[[#This Row],[COST]]</f>
        <v>223.40999999999997</v>
      </c>
      <c r="J591">
        <f>SALESTABLE[[#This Row],[PROFIT]]/SALESTABLE[[#This Row],[Revenue]]*100</f>
        <v>33.426596445029624</v>
      </c>
    </row>
    <row r="592" spans="1:10" x14ac:dyDescent="0.35">
      <c r="A592" t="s">
        <v>726</v>
      </c>
      <c r="B592" s="4">
        <v>44934</v>
      </c>
      <c r="C592" t="s">
        <v>177</v>
      </c>
      <c r="D592" t="s">
        <v>84</v>
      </c>
      <c r="E592">
        <v>4</v>
      </c>
      <c r="F592">
        <v>15</v>
      </c>
      <c r="G592" cm="1">
        <f t="array" ref="G592">SALESTABLE[[#This Row],[Quantity]]*_xlfn.XLOOKUP(SALESTABLE[[#This Row],[Product_ID]],ProductsTable[Product_ID],ProductsTable[Unit_Price],WAASIU,0,1)</f>
        <v>1075.5999999999999</v>
      </c>
      <c r="H592" cm="1">
        <f t="array" ref="H592">SALESTABLE[[#This Row],[Quantity]]*_xlfn.XLOOKUP(SALESTABLE[[#This Row],[Product_ID]],ProductsTable[Product_ID],ProductsTable[Cost_Price],WAASIU,0,1)</f>
        <v>623.44000000000005</v>
      </c>
      <c r="I592">
        <f>SALESTABLE[[#This Row],[Revenue]]-SALESTABLE[[#This Row],[COST]]</f>
        <v>452.15999999999985</v>
      </c>
      <c r="J592">
        <f>SALESTABLE[[#This Row],[PROFIT]]/SALESTABLE[[#This Row],[Revenue]]*100</f>
        <v>42.037932316846401</v>
      </c>
    </row>
    <row r="593" spans="1:10" x14ac:dyDescent="0.35">
      <c r="A593" t="s">
        <v>727</v>
      </c>
      <c r="B593" s="4">
        <v>45053</v>
      </c>
      <c r="C593" t="s">
        <v>415</v>
      </c>
      <c r="D593" t="s">
        <v>57</v>
      </c>
      <c r="E593">
        <v>9</v>
      </c>
      <c r="F593">
        <v>5</v>
      </c>
      <c r="G593" cm="1">
        <f t="array" ref="G593">SALESTABLE[[#This Row],[Quantity]]*_xlfn.XLOOKUP(SALESTABLE[[#This Row],[Product_ID]],ProductsTable[Product_ID],ProductsTable[Unit_Price],WAASIU,0,1)</f>
        <v>1429.47</v>
      </c>
      <c r="H593" cm="1">
        <f t="array" ref="H593">SALESTABLE[[#This Row],[Quantity]]*_xlfn.XLOOKUP(SALESTABLE[[#This Row],[Product_ID]],ProductsTable[Product_ID],ProductsTable[Cost_Price],WAASIU,0,1)</f>
        <v>1142.46</v>
      </c>
      <c r="I593">
        <f>SALESTABLE[[#This Row],[Revenue]]-SALESTABLE[[#This Row],[COST]]</f>
        <v>287.01</v>
      </c>
      <c r="J593">
        <f>SALESTABLE[[#This Row],[PROFIT]]/SALESTABLE[[#This Row],[Revenue]]*100</f>
        <v>20.078070893408047</v>
      </c>
    </row>
    <row r="594" spans="1:10" x14ac:dyDescent="0.35">
      <c r="A594" t="s">
        <v>728</v>
      </c>
      <c r="B594" s="4">
        <v>45563</v>
      </c>
      <c r="C594" t="s">
        <v>65</v>
      </c>
      <c r="D594" t="s">
        <v>113</v>
      </c>
      <c r="E594">
        <v>13</v>
      </c>
      <c r="F594">
        <v>0</v>
      </c>
      <c r="G594" cm="1">
        <f t="array" ref="G594">SALESTABLE[[#This Row],[Quantity]]*_xlfn.XLOOKUP(SALESTABLE[[#This Row],[Product_ID]],ProductsTable[Product_ID],ProductsTable[Unit_Price],WAASIU,0,1)</f>
        <v>4382.17</v>
      </c>
      <c r="H594" cm="1">
        <f t="array" ref="H594">SALESTABLE[[#This Row],[Quantity]]*_xlfn.XLOOKUP(SALESTABLE[[#This Row],[Product_ID]],ProductsTable[Product_ID],ProductsTable[Cost_Price],WAASIU,0,1)</f>
        <v>2423.33</v>
      </c>
      <c r="I594">
        <f>SALESTABLE[[#This Row],[Revenue]]-SALESTABLE[[#This Row],[COST]]</f>
        <v>1958.8400000000001</v>
      </c>
      <c r="J594">
        <f>SALESTABLE[[#This Row],[PROFIT]]/SALESTABLE[[#This Row],[Revenue]]*100</f>
        <v>44.700228425643004</v>
      </c>
    </row>
    <row r="595" spans="1:10" x14ac:dyDescent="0.35">
      <c r="A595" t="s">
        <v>729</v>
      </c>
      <c r="B595" s="4">
        <v>45050</v>
      </c>
      <c r="C595" t="s">
        <v>348</v>
      </c>
      <c r="D595" t="s">
        <v>110</v>
      </c>
      <c r="E595">
        <v>5</v>
      </c>
      <c r="F595">
        <v>0</v>
      </c>
      <c r="G595" cm="1">
        <f t="array" ref="G595">SALESTABLE[[#This Row],[Quantity]]*_xlfn.XLOOKUP(SALESTABLE[[#This Row],[Product_ID]],ProductsTable[Product_ID],ProductsTable[Unit_Price],WAASIU,0,1)</f>
        <v>2456.6</v>
      </c>
      <c r="H595" cm="1">
        <f t="array" ref="H595">SALESTABLE[[#This Row],[Quantity]]*_xlfn.XLOOKUP(SALESTABLE[[#This Row],[Product_ID]],ProductsTable[Product_ID],ProductsTable[Cost_Price],WAASIU,0,1)</f>
        <v>1340.5500000000002</v>
      </c>
      <c r="I595">
        <f>SALESTABLE[[#This Row],[Revenue]]-SALESTABLE[[#This Row],[COST]]</f>
        <v>1116.0499999999997</v>
      </c>
      <c r="J595">
        <f>SALESTABLE[[#This Row],[PROFIT]]/SALESTABLE[[#This Row],[Revenue]]*100</f>
        <v>45.430676544818034</v>
      </c>
    </row>
    <row r="596" spans="1:10" x14ac:dyDescent="0.35">
      <c r="A596" t="s">
        <v>730</v>
      </c>
      <c r="B596" s="4">
        <v>44962</v>
      </c>
      <c r="C596" t="s">
        <v>184</v>
      </c>
      <c r="D596" t="s">
        <v>97</v>
      </c>
      <c r="E596">
        <v>2</v>
      </c>
      <c r="F596">
        <v>5</v>
      </c>
      <c r="G596" cm="1">
        <f t="array" ref="G596">SALESTABLE[[#This Row],[Quantity]]*_xlfn.XLOOKUP(SALESTABLE[[#This Row],[Product_ID]],ProductsTable[Product_ID],ProductsTable[Unit_Price],WAASIU,0,1)</f>
        <v>620.41999999999996</v>
      </c>
      <c r="H596" cm="1">
        <f t="array" ref="H596">SALESTABLE[[#This Row],[Quantity]]*_xlfn.XLOOKUP(SALESTABLE[[#This Row],[Product_ID]],ProductsTable[Product_ID],ProductsTable[Cost_Price],WAASIU,0,1)</f>
        <v>450.58</v>
      </c>
      <c r="I596">
        <f>SALESTABLE[[#This Row],[Revenue]]-SALESTABLE[[#This Row],[COST]]</f>
        <v>169.83999999999997</v>
      </c>
      <c r="J596">
        <f>SALESTABLE[[#This Row],[PROFIT]]/SALESTABLE[[#This Row],[Revenue]]*100</f>
        <v>27.375004029528384</v>
      </c>
    </row>
    <row r="597" spans="1:10" x14ac:dyDescent="0.35">
      <c r="A597" t="s">
        <v>731</v>
      </c>
      <c r="B597" s="4">
        <v>45071</v>
      </c>
      <c r="C597" t="s">
        <v>15</v>
      </c>
      <c r="D597" t="s">
        <v>127</v>
      </c>
      <c r="E597">
        <v>12</v>
      </c>
      <c r="F597">
        <v>15</v>
      </c>
      <c r="G597" cm="1">
        <f t="array" ref="G597">SALESTABLE[[#This Row],[Quantity]]*_xlfn.XLOOKUP(SALESTABLE[[#This Row],[Product_ID]],ProductsTable[Product_ID],ProductsTable[Unit_Price],WAASIU,0,1)</f>
        <v>1104.8399999999999</v>
      </c>
      <c r="H597" cm="1">
        <f t="array" ref="H597">SALESTABLE[[#This Row],[Quantity]]*_xlfn.XLOOKUP(SALESTABLE[[#This Row],[Product_ID]],ProductsTable[Product_ID],ProductsTable[Cost_Price],WAASIU,0,1)</f>
        <v>676.31999999999994</v>
      </c>
      <c r="I597">
        <f>SALESTABLE[[#This Row],[Revenue]]-SALESTABLE[[#This Row],[COST]]</f>
        <v>428.52</v>
      </c>
      <c r="J597">
        <f>SALESTABLE[[#This Row],[PROFIT]]/SALESTABLE[[#This Row],[Revenue]]*100</f>
        <v>38.785706527642013</v>
      </c>
    </row>
    <row r="598" spans="1:10" x14ac:dyDescent="0.35">
      <c r="A598" t="s">
        <v>732</v>
      </c>
      <c r="B598" s="4">
        <v>45207</v>
      </c>
      <c r="C598" t="s">
        <v>430</v>
      </c>
      <c r="D598" t="s">
        <v>110</v>
      </c>
      <c r="E598">
        <v>9</v>
      </c>
      <c r="F598">
        <v>15</v>
      </c>
      <c r="G598" cm="1">
        <f t="array" ref="G598">SALESTABLE[[#This Row],[Quantity]]*_xlfn.XLOOKUP(SALESTABLE[[#This Row],[Product_ID]],ProductsTable[Product_ID],ProductsTable[Unit_Price],WAASIU,0,1)</f>
        <v>4421.88</v>
      </c>
      <c r="H598" cm="1">
        <f t="array" ref="H598">SALESTABLE[[#This Row],[Quantity]]*_xlfn.XLOOKUP(SALESTABLE[[#This Row],[Product_ID]],ProductsTable[Product_ID],ProductsTable[Cost_Price],WAASIU,0,1)</f>
        <v>2412.9900000000002</v>
      </c>
      <c r="I598">
        <f>SALESTABLE[[#This Row],[Revenue]]-SALESTABLE[[#This Row],[COST]]</f>
        <v>2008.8899999999999</v>
      </c>
      <c r="J598">
        <f>SALESTABLE[[#This Row],[PROFIT]]/SALESTABLE[[#This Row],[Revenue]]*100</f>
        <v>45.430676544818041</v>
      </c>
    </row>
    <row r="599" spans="1:10" x14ac:dyDescent="0.35">
      <c r="A599" t="s">
        <v>733</v>
      </c>
      <c r="B599" s="4">
        <v>45252</v>
      </c>
      <c r="C599" t="s">
        <v>40</v>
      </c>
      <c r="D599" t="s">
        <v>139</v>
      </c>
      <c r="E599">
        <v>14</v>
      </c>
      <c r="F599">
        <v>10</v>
      </c>
      <c r="G599" cm="1">
        <f t="array" ref="G599">SALESTABLE[[#This Row],[Quantity]]*_xlfn.XLOOKUP(SALESTABLE[[#This Row],[Product_ID]],ProductsTable[Product_ID],ProductsTable[Unit_Price],WAASIU,0,1)</f>
        <v>6399.54</v>
      </c>
      <c r="H599" cm="1">
        <f t="array" ref="H599">SALESTABLE[[#This Row],[Quantity]]*_xlfn.XLOOKUP(SALESTABLE[[#This Row],[Product_ID]],ProductsTable[Product_ID],ProductsTable[Cost_Price],WAASIU,0,1)</f>
        <v>4585.28</v>
      </c>
      <c r="I599">
        <f>SALESTABLE[[#This Row],[Revenue]]-SALESTABLE[[#This Row],[COST]]</f>
        <v>1814.2600000000002</v>
      </c>
      <c r="J599">
        <f>SALESTABLE[[#This Row],[PROFIT]]/SALESTABLE[[#This Row],[Revenue]]*100</f>
        <v>28.349850145479209</v>
      </c>
    </row>
    <row r="600" spans="1:10" x14ac:dyDescent="0.35">
      <c r="A600" t="s">
        <v>734</v>
      </c>
      <c r="B600" s="4">
        <v>45654</v>
      </c>
      <c r="C600" t="s">
        <v>165</v>
      </c>
      <c r="D600" t="s">
        <v>57</v>
      </c>
      <c r="E600">
        <v>6</v>
      </c>
      <c r="F600">
        <v>0</v>
      </c>
      <c r="G600" cm="1">
        <f t="array" ref="G600">SALESTABLE[[#This Row],[Quantity]]*_xlfn.XLOOKUP(SALESTABLE[[#This Row],[Product_ID]],ProductsTable[Product_ID],ProductsTable[Unit_Price],WAASIU,0,1)</f>
        <v>952.98</v>
      </c>
      <c r="H600" cm="1">
        <f t="array" ref="H600">SALESTABLE[[#This Row],[Quantity]]*_xlfn.XLOOKUP(SALESTABLE[[#This Row],[Product_ID]],ProductsTable[Product_ID],ProductsTable[Cost_Price],WAASIU,0,1)</f>
        <v>761.64</v>
      </c>
      <c r="I600">
        <f>SALESTABLE[[#This Row],[Revenue]]-SALESTABLE[[#This Row],[COST]]</f>
        <v>191.34000000000003</v>
      </c>
      <c r="J600">
        <f>SALESTABLE[[#This Row],[PROFIT]]/SALESTABLE[[#This Row],[Revenue]]*100</f>
        <v>20.078070893408047</v>
      </c>
    </row>
    <row r="601" spans="1:10" x14ac:dyDescent="0.35">
      <c r="A601" t="s">
        <v>735</v>
      </c>
      <c r="B601" s="4">
        <v>45208</v>
      </c>
      <c r="C601" t="s">
        <v>65</v>
      </c>
      <c r="D601" t="s">
        <v>11</v>
      </c>
      <c r="E601">
        <v>4</v>
      </c>
      <c r="F601">
        <v>10</v>
      </c>
      <c r="G601" cm="1">
        <f t="array" ref="G601">SALESTABLE[[#This Row],[Quantity]]*_xlfn.XLOOKUP(SALESTABLE[[#This Row],[Product_ID]],ProductsTable[Product_ID],ProductsTable[Unit_Price],WAASIU,0,1)</f>
        <v>1909.08</v>
      </c>
      <c r="H601" cm="1">
        <f t="array" ref="H601">SALESTABLE[[#This Row],[Quantity]]*_xlfn.XLOOKUP(SALESTABLE[[#This Row],[Product_ID]],ProductsTable[Product_ID],ProductsTable[Cost_Price],WAASIU,0,1)</f>
        <v>1195.3599999999999</v>
      </c>
      <c r="I601">
        <f>SALESTABLE[[#This Row],[Revenue]]-SALESTABLE[[#This Row],[COST]]</f>
        <v>713.72</v>
      </c>
      <c r="J601">
        <f>SALESTABLE[[#This Row],[PROFIT]]/SALESTABLE[[#This Row],[Revenue]]*100</f>
        <v>37.385546965030279</v>
      </c>
    </row>
    <row r="602" spans="1:10" x14ac:dyDescent="0.35">
      <c r="A602" t="s">
        <v>736</v>
      </c>
      <c r="B602" s="4">
        <v>45543</v>
      </c>
      <c r="C602" t="s">
        <v>129</v>
      </c>
      <c r="D602" t="s">
        <v>93</v>
      </c>
      <c r="E602">
        <v>11</v>
      </c>
      <c r="F602">
        <v>10</v>
      </c>
      <c r="G602" cm="1">
        <f t="array" ref="G602">SALESTABLE[[#This Row],[Quantity]]*_xlfn.XLOOKUP(SALESTABLE[[#This Row],[Product_ID]],ProductsTable[Product_ID],ProductsTable[Unit_Price],WAASIU,0,1)</f>
        <v>2354.33</v>
      </c>
      <c r="H602" cm="1">
        <f t="array" ref="H602">SALESTABLE[[#This Row],[Quantity]]*_xlfn.XLOOKUP(SALESTABLE[[#This Row],[Product_ID]],ProductsTable[Product_ID],ProductsTable[Cost_Price],WAASIU,0,1)</f>
        <v>1723.8100000000002</v>
      </c>
      <c r="I602">
        <f>SALESTABLE[[#This Row],[Revenue]]-SALESTABLE[[#This Row],[COST]]</f>
        <v>630.51999999999975</v>
      </c>
      <c r="J602">
        <f>SALESTABLE[[#This Row],[PROFIT]]/SALESTABLE[[#This Row],[Revenue]]*100</f>
        <v>26.781292342195012</v>
      </c>
    </row>
    <row r="603" spans="1:10" x14ac:dyDescent="0.35">
      <c r="A603" t="s">
        <v>737</v>
      </c>
      <c r="B603" s="4">
        <v>45462</v>
      </c>
      <c r="C603" t="s">
        <v>193</v>
      </c>
      <c r="D603" t="s">
        <v>13</v>
      </c>
      <c r="E603">
        <v>11</v>
      </c>
      <c r="F603">
        <v>15</v>
      </c>
      <c r="G603" cm="1">
        <f t="array" ref="G603">SALESTABLE[[#This Row],[Quantity]]*_xlfn.XLOOKUP(SALESTABLE[[#This Row],[Product_ID]],ProductsTable[Product_ID],ProductsTable[Unit_Price],WAASIU,0,1)</f>
        <v>4786.9800000000005</v>
      </c>
      <c r="H603" cm="1">
        <f t="array" ref="H603">SALESTABLE[[#This Row],[Quantity]]*_xlfn.XLOOKUP(SALESTABLE[[#This Row],[Product_ID]],ProductsTable[Product_ID],ProductsTable[Cost_Price],WAASIU,0,1)</f>
        <v>2540.4499999999998</v>
      </c>
      <c r="I603">
        <f>SALESTABLE[[#This Row],[Revenue]]-SALESTABLE[[#This Row],[COST]]</f>
        <v>2246.5300000000007</v>
      </c>
      <c r="J603">
        <f>SALESTABLE[[#This Row],[PROFIT]]/SALESTABLE[[#This Row],[Revenue]]*100</f>
        <v>46.930005974539277</v>
      </c>
    </row>
    <row r="604" spans="1:10" x14ac:dyDescent="0.35">
      <c r="A604" t="s">
        <v>738</v>
      </c>
      <c r="B604" s="4">
        <v>45083</v>
      </c>
      <c r="C604" t="s">
        <v>129</v>
      </c>
      <c r="D604" t="s">
        <v>77</v>
      </c>
      <c r="E604">
        <v>10</v>
      </c>
      <c r="F604">
        <v>10</v>
      </c>
      <c r="G604" cm="1">
        <f t="array" ref="G604">SALESTABLE[[#This Row],[Quantity]]*_xlfn.XLOOKUP(SALESTABLE[[#This Row],[Product_ID]],ProductsTable[Product_ID],ProductsTable[Unit_Price],WAASIU,0,1)</f>
        <v>918</v>
      </c>
      <c r="H604" cm="1">
        <f t="array" ref="H604">SALESTABLE[[#This Row],[Quantity]]*_xlfn.XLOOKUP(SALESTABLE[[#This Row],[Product_ID]],ProductsTable[Product_ID],ProductsTable[Cost_Price],WAASIU,0,1)</f>
        <v>489.7</v>
      </c>
      <c r="I604">
        <f>SALESTABLE[[#This Row],[Revenue]]-SALESTABLE[[#This Row],[COST]]</f>
        <v>428.3</v>
      </c>
      <c r="J604">
        <f>SALESTABLE[[#This Row],[PROFIT]]/SALESTABLE[[#This Row],[Revenue]]*100</f>
        <v>46.655773420479299</v>
      </c>
    </row>
    <row r="605" spans="1:10" x14ac:dyDescent="0.35">
      <c r="A605" t="s">
        <v>739</v>
      </c>
      <c r="B605" s="4">
        <v>45458</v>
      </c>
      <c r="C605" t="s">
        <v>223</v>
      </c>
      <c r="D605" t="s">
        <v>107</v>
      </c>
      <c r="E605">
        <v>2</v>
      </c>
      <c r="F605">
        <v>20</v>
      </c>
      <c r="G605" cm="1">
        <f t="array" ref="G605">SALESTABLE[[#This Row],[Quantity]]*_xlfn.XLOOKUP(SALESTABLE[[#This Row],[Product_ID]],ProductsTable[Product_ID],ProductsTable[Unit_Price],WAASIU,0,1)</f>
        <v>130.02000000000001</v>
      </c>
      <c r="H605" cm="1">
        <f t="array" ref="H605">SALESTABLE[[#This Row],[Quantity]]*_xlfn.XLOOKUP(SALESTABLE[[#This Row],[Product_ID]],ProductsTable[Product_ID],ProductsTable[Cost_Price],WAASIU,0,1)</f>
        <v>73.66</v>
      </c>
      <c r="I605">
        <f>SALESTABLE[[#This Row],[Revenue]]-SALESTABLE[[#This Row],[COST]]</f>
        <v>56.360000000000014</v>
      </c>
      <c r="J605">
        <f>SALESTABLE[[#This Row],[PROFIT]]/SALESTABLE[[#This Row],[Revenue]]*100</f>
        <v>43.347177357329649</v>
      </c>
    </row>
    <row r="606" spans="1:10" x14ac:dyDescent="0.35">
      <c r="A606" t="s">
        <v>740</v>
      </c>
      <c r="B606" s="4">
        <v>45427</v>
      </c>
      <c r="C606" t="s">
        <v>237</v>
      </c>
      <c r="D606" t="s">
        <v>127</v>
      </c>
      <c r="E606">
        <v>7</v>
      </c>
      <c r="F606">
        <v>10</v>
      </c>
      <c r="G606" cm="1">
        <f t="array" ref="G606">SALESTABLE[[#This Row],[Quantity]]*_xlfn.XLOOKUP(SALESTABLE[[#This Row],[Product_ID]],ProductsTable[Product_ID],ProductsTable[Unit_Price],WAASIU,0,1)</f>
        <v>644.49</v>
      </c>
      <c r="H606" cm="1">
        <f t="array" ref="H606">SALESTABLE[[#This Row],[Quantity]]*_xlfn.XLOOKUP(SALESTABLE[[#This Row],[Product_ID]],ProductsTable[Product_ID],ProductsTable[Cost_Price],WAASIU,0,1)</f>
        <v>394.52</v>
      </c>
      <c r="I606">
        <f>SALESTABLE[[#This Row],[Revenue]]-SALESTABLE[[#This Row],[COST]]</f>
        <v>249.97000000000003</v>
      </c>
      <c r="J606">
        <f>SALESTABLE[[#This Row],[PROFIT]]/SALESTABLE[[#This Row],[Revenue]]*100</f>
        <v>38.78570652764202</v>
      </c>
    </row>
    <row r="607" spans="1:10" x14ac:dyDescent="0.35">
      <c r="A607" t="s">
        <v>741</v>
      </c>
      <c r="B607" s="4">
        <v>45637</v>
      </c>
      <c r="C607" t="s">
        <v>292</v>
      </c>
      <c r="D607" t="s">
        <v>110</v>
      </c>
      <c r="E607">
        <v>13</v>
      </c>
      <c r="F607">
        <v>10</v>
      </c>
      <c r="G607" cm="1">
        <f t="array" ref="G607">SALESTABLE[[#This Row],[Quantity]]*_xlfn.XLOOKUP(SALESTABLE[[#This Row],[Product_ID]],ProductsTable[Product_ID],ProductsTable[Unit_Price],WAASIU,0,1)</f>
        <v>6387.16</v>
      </c>
      <c r="H607" cm="1">
        <f t="array" ref="H607">SALESTABLE[[#This Row],[Quantity]]*_xlfn.XLOOKUP(SALESTABLE[[#This Row],[Product_ID]],ProductsTable[Product_ID],ProductsTable[Cost_Price],WAASIU,0,1)</f>
        <v>3485.4300000000003</v>
      </c>
      <c r="I607">
        <f>SALESTABLE[[#This Row],[Revenue]]-SALESTABLE[[#This Row],[COST]]</f>
        <v>2901.7299999999996</v>
      </c>
      <c r="J607">
        <f>SALESTABLE[[#This Row],[PROFIT]]/SALESTABLE[[#This Row],[Revenue]]*100</f>
        <v>45.430676544818034</v>
      </c>
    </row>
    <row r="608" spans="1:10" x14ac:dyDescent="0.35">
      <c r="A608" t="s">
        <v>742</v>
      </c>
      <c r="B608" s="4">
        <v>45098</v>
      </c>
      <c r="C608" t="s">
        <v>36</v>
      </c>
      <c r="D608" t="s">
        <v>8</v>
      </c>
      <c r="E608">
        <v>5</v>
      </c>
      <c r="F608">
        <v>10</v>
      </c>
      <c r="G608" cm="1">
        <f t="array" ref="G608">SALESTABLE[[#This Row],[Quantity]]*_xlfn.XLOOKUP(SALESTABLE[[#This Row],[Product_ID]],ProductsTable[Product_ID],ProductsTable[Unit_Price],WAASIU,0,1)</f>
        <v>1681.6</v>
      </c>
      <c r="H608" cm="1">
        <f t="array" ref="H608">SALESTABLE[[#This Row],[Quantity]]*_xlfn.XLOOKUP(SALESTABLE[[#This Row],[Product_ID]],ProductsTable[Product_ID],ProductsTable[Cost_Price],WAASIU,0,1)</f>
        <v>1138.9000000000001</v>
      </c>
      <c r="I608">
        <f>SALESTABLE[[#This Row],[Revenue]]-SALESTABLE[[#This Row],[COST]]</f>
        <v>542.69999999999982</v>
      </c>
      <c r="J608">
        <f>SALESTABLE[[#This Row],[PROFIT]]/SALESTABLE[[#This Row],[Revenue]]*100</f>
        <v>32.272835394862028</v>
      </c>
    </row>
    <row r="609" spans="1:10" x14ac:dyDescent="0.35">
      <c r="A609" t="s">
        <v>743</v>
      </c>
      <c r="B609" s="4">
        <v>45001</v>
      </c>
      <c r="C609" t="s">
        <v>129</v>
      </c>
      <c r="D609" t="s">
        <v>44</v>
      </c>
      <c r="E609">
        <v>8</v>
      </c>
      <c r="F609">
        <v>5</v>
      </c>
      <c r="G609" cm="1">
        <f t="array" ref="G609">SALESTABLE[[#This Row],[Quantity]]*_xlfn.XLOOKUP(SALESTABLE[[#This Row],[Product_ID]],ProductsTable[Product_ID],ProductsTable[Unit_Price],WAASIU,0,1)</f>
        <v>1073.52</v>
      </c>
      <c r="H609" cm="1">
        <f t="array" ref="H609">SALESTABLE[[#This Row],[Quantity]]*_xlfn.XLOOKUP(SALESTABLE[[#This Row],[Product_ID]],ProductsTable[Product_ID],ProductsTable[Cost_Price],WAASIU,0,1)</f>
        <v>666.56</v>
      </c>
      <c r="I609">
        <f>SALESTABLE[[#This Row],[Revenue]]-SALESTABLE[[#This Row],[COST]]</f>
        <v>406.96000000000004</v>
      </c>
      <c r="J609">
        <f>SALESTABLE[[#This Row],[PROFIT]]/SALESTABLE[[#This Row],[Revenue]]*100</f>
        <v>37.908935092033687</v>
      </c>
    </row>
    <row r="610" spans="1:10" x14ac:dyDescent="0.35">
      <c r="A610" t="s">
        <v>744</v>
      </c>
      <c r="B610" s="4">
        <v>45409</v>
      </c>
      <c r="C610" t="s">
        <v>7</v>
      </c>
      <c r="D610" t="s">
        <v>25</v>
      </c>
      <c r="E610">
        <v>8</v>
      </c>
      <c r="F610">
        <v>10</v>
      </c>
      <c r="G610" cm="1">
        <f t="array" ref="G610">SALESTABLE[[#This Row],[Quantity]]*_xlfn.XLOOKUP(SALESTABLE[[#This Row],[Product_ID]],ProductsTable[Product_ID],ProductsTable[Unit_Price],WAASIU,0,1)</f>
        <v>1422.08</v>
      </c>
      <c r="H610" cm="1">
        <f t="array" ref="H610">SALESTABLE[[#This Row],[Quantity]]*_xlfn.XLOOKUP(SALESTABLE[[#This Row],[Product_ID]],ProductsTable[Product_ID],ProductsTable[Cost_Price],WAASIU,0,1)</f>
        <v>735.04</v>
      </c>
      <c r="I610">
        <f>SALESTABLE[[#This Row],[Revenue]]-SALESTABLE[[#This Row],[COST]]</f>
        <v>687.04</v>
      </c>
      <c r="J610">
        <f>SALESTABLE[[#This Row],[PROFIT]]/SALESTABLE[[#This Row],[Revenue]]*100</f>
        <v>48.312331233123309</v>
      </c>
    </row>
    <row r="611" spans="1:10" x14ac:dyDescent="0.35">
      <c r="A611" t="s">
        <v>745</v>
      </c>
      <c r="B611" s="4">
        <v>45023</v>
      </c>
      <c r="C611" t="s">
        <v>144</v>
      </c>
      <c r="D611" t="s">
        <v>52</v>
      </c>
      <c r="E611">
        <v>7</v>
      </c>
      <c r="F611">
        <v>5</v>
      </c>
      <c r="G611" cm="1">
        <f t="array" ref="G611">SALESTABLE[[#This Row],[Quantity]]*_xlfn.XLOOKUP(SALESTABLE[[#This Row],[Product_ID]],ProductsTable[Product_ID],ProductsTable[Unit_Price],WAASIU,0,1)</f>
        <v>1286.46</v>
      </c>
      <c r="H611" cm="1">
        <f t="array" ref="H611">SALESTABLE[[#This Row],[Quantity]]*_xlfn.XLOOKUP(SALESTABLE[[#This Row],[Product_ID]],ProductsTable[Product_ID],ProductsTable[Cost_Price],WAASIU,0,1)</f>
        <v>809.41</v>
      </c>
      <c r="I611">
        <f>SALESTABLE[[#This Row],[Revenue]]-SALESTABLE[[#This Row],[COST]]</f>
        <v>477.05000000000007</v>
      </c>
      <c r="J611">
        <f>SALESTABLE[[#This Row],[PROFIT]]/SALESTABLE[[#This Row],[Revenue]]*100</f>
        <v>37.082381107846338</v>
      </c>
    </row>
    <row r="612" spans="1:10" x14ac:dyDescent="0.35">
      <c r="A612" t="s">
        <v>746</v>
      </c>
      <c r="B612" s="4">
        <v>45486</v>
      </c>
      <c r="C612" t="s">
        <v>159</v>
      </c>
      <c r="D612" t="s">
        <v>28</v>
      </c>
      <c r="E612">
        <v>8</v>
      </c>
      <c r="F612">
        <v>15</v>
      </c>
      <c r="G612" cm="1">
        <f t="array" ref="G612">SALESTABLE[[#This Row],[Quantity]]*_xlfn.XLOOKUP(SALESTABLE[[#This Row],[Product_ID]],ProductsTable[Product_ID],ProductsTable[Unit_Price],WAASIU,0,1)</f>
        <v>3403.84</v>
      </c>
      <c r="H612" cm="1">
        <f t="array" ref="H612">SALESTABLE[[#This Row],[Quantity]]*_xlfn.XLOOKUP(SALESTABLE[[#This Row],[Product_ID]],ProductsTable[Product_ID],ProductsTable[Cost_Price],WAASIU,0,1)</f>
        <v>1867.84</v>
      </c>
      <c r="I612">
        <f>SALESTABLE[[#This Row],[Revenue]]-SALESTABLE[[#This Row],[COST]]</f>
        <v>1536.0000000000002</v>
      </c>
      <c r="J612">
        <f>SALESTABLE[[#This Row],[PROFIT]]/SALESTABLE[[#This Row],[Revenue]]*100</f>
        <v>45.12550531164802</v>
      </c>
    </row>
    <row r="613" spans="1:10" x14ac:dyDescent="0.35">
      <c r="A613" t="s">
        <v>747</v>
      </c>
      <c r="B613" s="4">
        <v>45511</v>
      </c>
      <c r="C613" t="s">
        <v>209</v>
      </c>
      <c r="D613" t="s">
        <v>133</v>
      </c>
      <c r="E613">
        <v>14</v>
      </c>
      <c r="F613">
        <v>10</v>
      </c>
      <c r="G613" cm="1">
        <f t="array" ref="G613">SALESTABLE[[#This Row],[Quantity]]*_xlfn.XLOOKUP(SALESTABLE[[#This Row],[Product_ID]],ProductsTable[Product_ID],ProductsTable[Unit_Price],WAASIU,0,1)</f>
        <v>4914</v>
      </c>
      <c r="H613" cm="1">
        <f t="array" ref="H613">SALESTABLE[[#This Row],[Quantity]]*_xlfn.XLOOKUP(SALESTABLE[[#This Row],[Product_ID]],ProductsTable[Product_ID],ProductsTable[Cost_Price],WAASIU,0,1)</f>
        <v>3270.8199999999997</v>
      </c>
      <c r="I613">
        <f>SALESTABLE[[#This Row],[Revenue]]-SALESTABLE[[#This Row],[COST]]</f>
        <v>1643.1800000000003</v>
      </c>
      <c r="J613">
        <f>SALESTABLE[[#This Row],[PROFIT]]/SALESTABLE[[#This Row],[Revenue]]*100</f>
        <v>33.438746438746449</v>
      </c>
    </row>
    <row r="614" spans="1:10" x14ac:dyDescent="0.35">
      <c r="A614" t="s">
        <v>748</v>
      </c>
      <c r="B614" s="4">
        <v>45106</v>
      </c>
      <c r="C614" t="s">
        <v>181</v>
      </c>
      <c r="D614" t="s">
        <v>137</v>
      </c>
      <c r="E614">
        <v>12</v>
      </c>
      <c r="F614">
        <v>5</v>
      </c>
      <c r="G614" cm="1">
        <f t="array" ref="G614">SALESTABLE[[#This Row],[Quantity]]*_xlfn.XLOOKUP(SALESTABLE[[#This Row],[Product_ID]],ProductsTable[Product_ID],ProductsTable[Unit_Price],WAASIU,0,1)</f>
        <v>4361.28</v>
      </c>
      <c r="H614" cm="1">
        <f t="array" ref="H614">SALESTABLE[[#This Row],[Quantity]]*_xlfn.XLOOKUP(SALESTABLE[[#This Row],[Product_ID]],ProductsTable[Product_ID],ProductsTable[Cost_Price],WAASIU,0,1)</f>
        <v>3000.6000000000004</v>
      </c>
      <c r="I614">
        <f>SALESTABLE[[#This Row],[Revenue]]-SALESTABLE[[#This Row],[COST]]</f>
        <v>1360.6799999999994</v>
      </c>
      <c r="J614">
        <f>SALESTABLE[[#This Row],[PROFIT]]/SALESTABLE[[#This Row],[Revenue]]*100</f>
        <v>31.19909751265682</v>
      </c>
    </row>
    <row r="615" spans="1:10" x14ac:dyDescent="0.35">
      <c r="A615" t="s">
        <v>749</v>
      </c>
      <c r="B615" s="4">
        <v>45272</v>
      </c>
      <c r="C615" t="s">
        <v>187</v>
      </c>
      <c r="D615" t="s">
        <v>248</v>
      </c>
      <c r="E615">
        <v>10</v>
      </c>
      <c r="F615">
        <v>10</v>
      </c>
      <c r="G615" cm="1">
        <f t="array" ref="G615">SALESTABLE[[#This Row],[Quantity]]*_xlfn.XLOOKUP(SALESTABLE[[#This Row],[Product_ID]],ProductsTable[Product_ID],ProductsTable[Unit_Price],WAASIU,0,1)</f>
        <v>1867.1000000000001</v>
      </c>
      <c r="H615" cm="1">
        <f t="array" ref="H615">SALESTABLE[[#This Row],[Quantity]]*_xlfn.XLOOKUP(SALESTABLE[[#This Row],[Product_ID]],ProductsTable[Product_ID],ProductsTable[Cost_Price],WAASIU,0,1)</f>
        <v>1251.9000000000001</v>
      </c>
      <c r="I615">
        <f>SALESTABLE[[#This Row],[Revenue]]-SALESTABLE[[#This Row],[COST]]</f>
        <v>615.20000000000005</v>
      </c>
      <c r="J615">
        <f>SALESTABLE[[#This Row],[PROFIT]]/SALESTABLE[[#This Row],[Revenue]]*100</f>
        <v>32.949493867495043</v>
      </c>
    </row>
    <row r="616" spans="1:10" x14ac:dyDescent="0.35">
      <c r="A616" t="s">
        <v>750</v>
      </c>
      <c r="B616" s="4">
        <v>45484</v>
      </c>
      <c r="C616" t="s">
        <v>102</v>
      </c>
      <c r="D616" t="s">
        <v>127</v>
      </c>
      <c r="E616">
        <v>14</v>
      </c>
      <c r="F616">
        <v>5</v>
      </c>
      <c r="G616" cm="1">
        <f t="array" ref="G616">SALESTABLE[[#This Row],[Quantity]]*_xlfn.XLOOKUP(SALESTABLE[[#This Row],[Product_ID]],ProductsTable[Product_ID],ProductsTable[Unit_Price],WAASIU,0,1)</f>
        <v>1288.98</v>
      </c>
      <c r="H616" cm="1">
        <f t="array" ref="H616">SALESTABLE[[#This Row],[Quantity]]*_xlfn.XLOOKUP(SALESTABLE[[#This Row],[Product_ID]],ProductsTable[Product_ID],ProductsTable[Cost_Price],WAASIU,0,1)</f>
        <v>789.04</v>
      </c>
      <c r="I616">
        <f>SALESTABLE[[#This Row],[Revenue]]-SALESTABLE[[#This Row],[COST]]</f>
        <v>499.94000000000005</v>
      </c>
      <c r="J616">
        <f>SALESTABLE[[#This Row],[PROFIT]]/SALESTABLE[[#This Row],[Revenue]]*100</f>
        <v>38.78570652764202</v>
      </c>
    </row>
    <row r="617" spans="1:10" x14ac:dyDescent="0.35">
      <c r="A617" t="s">
        <v>751</v>
      </c>
      <c r="B617" s="4">
        <v>45266</v>
      </c>
      <c r="C617" t="s">
        <v>73</v>
      </c>
      <c r="D617" t="s">
        <v>93</v>
      </c>
      <c r="E617">
        <v>17</v>
      </c>
      <c r="F617">
        <v>20</v>
      </c>
      <c r="G617" cm="1">
        <f t="array" ref="G617">SALESTABLE[[#This Row],[Quantity]]*_xlfn.XLOOKUP(SALESTABLE[[#This Row],[Product_ID]],ProductsTable[Product_ID],ProductsTable[Unit_Price],WAASIU,0,1)</f>
        <v>3638.51</v>
      </c>
      <c r="H617" cm="1">
        <f t="array" ref="H617">SALESTABLE[[#This Row],[Quantity]]*_xlfn.XLOOKUP(SALESTABLE[[#This Row],[Product_ID]],ProductsTable[Product_ID],ProductsTable[Cost_Price],WAASIU,0,1)</f>
        <v>2664.07</v>
      </c>
      <c r="I617">
        <f>SALESTABLE[[#This Row],[Revenue]]-SALESTABLE[[#This Row],[COST]]</f>
        <v>974.44</v>
      </c>
      <c r="J617">
        <f>SALESTABLE[[#This Row],[PROFIT]]/SALESTABLE[[#This Row],[Revenue]]*100</f>
        <v>26.781292342195016</v>
      </c>
    </row>
    <row r="618" spans="1:10" x14ac:dyDescent="0.35">
      <c r="A618" t="s">
        <v>752</v>
      </c>
      <c r="B618" s="4">
        <v>45632</v>
      </c>
      <c r="C618" t="s">
        <v>198</v>
      </c>
      <c r="D618" t="s">
        <v>100</v>
      </c>
      <c r="E618">
        <v>1</v>
      </c>
      <c r="F618">
        <v>20</v>
      </c>
      <c r="G618" cm="1">
        <f t="array" ref="G618">SALESTABLE[[#This Row],[Quantity]]*_xlfn.XLOOKUP(SALESTABLE[[#This Row],[Product_ID]],ProductsTable[Product_ID],ProductsTable[Unit_Price],WAASIU,0,1)</f>
        <v>409.32</v>
      </c>
      <c r="H618" cm="1">
        <f t="array" ref="H618">SALESTABLE[[#This Row],[Quantity]]*_xlfn.XLOOKUP(SALESTABLE[[#This Row],[Product_ID]],ProductsTable[Product_ID],ProductsTable[Cost_Price],WAASIU,0,1)</f>
        <v>212.65</v>
      </c>
      <c r="I618">
        <f>SALESTABLE[[#This Row],[Revenue]]-SALESTABLE[[#This Row],[COST]]</f>
        <v>196.67</v>
      </c>
      <c r="J618">
        <f>SALESTABLE[[#This Row],[PROFIT]]/SALESTABLE[[#This Row],[Revenue]]*100</f>
        <v>48.047982018958265</v>
      </c>
    </row>
    <row r="619" spans="1:10" x14ac:dyDescent="0.35">
      <c r="A619" t="s">
        <v>753</v>
      </c>
      <c r="B619" s="4">
        <v>45246</v>
      </c>
      <c r="C619" t="s">
        <v>331</v>
      </c>
      <c r="D619" t="s">
        <v>139</v>
      </c>
      <c r="E619">
        <v>13</v>
      </c>
      <c r="F619">
        <v>5</v>
      </c>
      <c r="G619" cm="1">
        <f t="array" ref="G619">SALESTABLE[[#This Row],[Quantity]]*_xlfn.XLOOKUP(SALESTABLE[[#This Row],[Product_ID]],ProductsTable[Product_ID],ProductsTable[Unit_Price],WAASIU,0,1)</f>
        <v>5942.43</v>
      </c>
      <c r="H619" cm="1">
        <f t="array" ref="H619">SALESTABLE[[#This Row],[Quantity]]*_xlfn.XLOOKUP(SALESTABLE[[#This Row],[Product_ID]],ProductsTable[Product_ID],ProductsTable[Cost_Price],WAASIU,0,1)</f>
        <v>4257.76</v>
      </c>
      <c r="I619">
        <f>SALESTABLE[[#This Row],[Revenue]]-SALESTABLE[[#This Row],[COST]]</f>
        <v>1684.67</v>
      </c>
      <c r="J619">
        <f>SALESTABLE[[#This Row],[PROFIT]]/SALESTABLE[[#This Row],[Revenue]]*100</f>
        <v>28.349850145479206</v>
      </c>
    </row>
    <row r="620" spans="1:10" x14ac:dyDescent="0.35">
      <c r="A620" t="s">
        <v>754</v>
      </c>
      <c r="B620" s="4">
        <v>45189</v>
      </c>
      <c r="C620" t="s">
        <v>159</v>
      </c>
      <c r="D620" t="s">
        <v>74</v>
      </c>
      <c r="E620">
        <v>15</v>
      </c>
      <c r="F620">
        <v>10</v>
      </c>
      <c r="G620" cm="1">
        <f t="array" ref="G620">SALESTABLE[[#This Row],[Quantity]]*_xlfn.XLOOKUP(SALESTABLE[[#This Row],[Product_ID]],ProductsTable[Product_ID],ProductsTable[Unit_Price],WAASIU,0,1)</f>
        <v>645</v>
      </c>
      <c r="H620" cm="1">
        <f t="array" ref="H620">SALESTABLE[[#This Row],[Quantity]]*_xlfn.XLOOKUP(SALESTABLE[[#This Row],[Product_ID]],ProductsTable[Product_ID],ProductsTable[Cost_Price],WAASIU,0,1)</f>
        <v>450.75</v>
      </c>
      <c r="I620">
        <f>SALESTABLE[[#This Row],[Revenue]]-SALESTABLE[[#This Row],[COST]]</f>
        <v>194.25</v>
      </c>
      <c r="J620">
        <f>SALESTABLE[[#This Row],[PROFIT]]/SALESTABLE[[#This Row],[Revenue]]*100</f>
        <v>30.116279069767444</v>
      </c>
    </row>
    <row r="621" spans="1:10" x14ac:dyDescent="0.35">
      <c r="A621" t="s">
        <v>755</v>
      </c>
      <c r="B621" s="4">
        <v>45092</v>
      </c>
      <c r="C621" t="s">
        <v>116</v>
      </c>
      <c r="D621" t="s">
        <v>133</v>
      </c>
      <c r="E621">
        <v>11</v>
      </c>
      <c r="F621">
        <v>20</v>
      </c>
      <c r="G621" cm="1">
        <f t="array" ref="G621">SALESTABLE[[#This Row],[Quantity]]*_xlfn.XLOOKUP(SALESTABLE[[#This Row],[Product_ID]],ProductsTable[Product_ID],ProductsTable[Unit_Price],WAASIU,0,1)</f>
        <v>3861</v>
      </c>
      <c r="H621" cm="1">
        <f t="array" ref="H621">SALESTABLE[[#This Row],[Quantity]]*_xlfn.XLOOKUP(SALESTABLE[[#This Row],[Product_ID]],ProductsTable[Product_ID],ProductsTable[Cost_Price],WAASIU,0,1)</f>
        <v>2569.9299999999998</v>
      </c>
      <c r="I621">
        <f>SALESTABLE[[#This Row],[Revenue]]-SALESTABLE[[#This Row],[COST]]</f>
        <v>1291.0700000000002</v>
      </c>
      <c r="J621">
        <f>SALESTABLE[[#This Row],[PROFIT]]/SALESTABLE[[#This Row],[Revenue]]*100</f>
        <v>33.438746438746442</v>
      </c>
    </row>
    <row r="622" spans="1:10" x14ac:dyDescent="0.35">
      <c r="A622" t="s">
        <v>756</v>
      </c>
      <c r="B622" s="4">
        <v>45235</v>
      </c>
      <c r="C622" t="s">
        <v>165</v>
      </c>
      <c r="D622" t="s">
        <v>100</v>
      </c>
      <c r="E622">
        <v>1</v>
      </c>
      <c r="F622">
        <v>10</v>
      </c>
      <c r="G622" cm="1">
        <f t="array" ref="G622">SALESTABLE[[#This Row],[Quantity]]*_xlfn.XLOOKUP(SALESTABLE[[#This Row],[Product_ID]],ProductsTable[Product_ID],ProductsTable[Unit_Price],WAASIU,0,1)</f>
        <v>409.32</v>
      </c>
      <c r="H622" cm="1">
        <f t="array" ref="H622">SALESTABLE[[#This Row],[Quantity]]*_xlfn.XLOOKUP(SALESTABLE[[#This Row],[Product_ID]],ProductsTable[Product_ID],ProductsTable[Cost_Price],WAASIU,0,1)</f>
        <v>212.65</v>
      </c>
      <c r="I622">
        <f>SALESTABLE[[#This Row],[Revenue]]-SALESTABLE[[#This Row],[COST]]</f>
        <v>196.67</v>
      </c>
      <c r="J622">
        <f>SALESTABLE[[#This Row],[PROFIT]]/SALESTABLE[[#This Row],[Revenue]]*100</f>
        <v>48.047982018958265</v>
      </c>
    </row>
    <row r="623" spans="1:10" x14ac:dyDescent="0.35">
      <c r="A623" t="s">
        <v>757</v>
      </c>
      <c r="B623" s="4">
        <v>45122</v>
      </c>
      <c r="C623" t="s">
        <v>156</v>
      </c>
      <c r="D623" t="s">
        <v>248</v>
      </c>
      <c r="E623">
        <v>8</v>
      </c>
      <c r="F623">
        <v>10</v>
      </c>
      <c r="G623" cm="1">
        <f t="array" ref="G623">SALESTABLE[[#This Row],[Quantity]]*_xlfn.XLOOKUP(SALESTABLE[[#This Row],[Product_ID]],ProductsTable[Product_ID],ProductsTable[Unit_Price],WAASIU,0,1)</f>
        <v>1493.68</v>
      </c>
      <c r="H623" cm="1">
        <f t="array" ref="H623">SALESTABLE[[#This Row],[Quantity]]*_xlfn.XLOOKUP(SALESTABLE[[#This Row],[Product_ID]],ProductsTable[Product_ID],ProductsTable[Cost_Price],WAASIU,0,1)</f>
        <v>1001.52</v>
      </c>
      <c r="I623">
        <f>SALESTABLE[[#This Row],[Revenue]]-SALESTABLE[[#This Row],[COST]]</f>
        <v>492.16000000000008</v>
      </c>
      <c r="J623">
        <f>SALESTABLE[[#This Row],[PROFIT]]/SALESTABLE[[#This Row],[Revenue]]*100</f>
        <v>32.94949386749505</v>
      </c>
    </row>
    <row r="624" spans="1:10" x14ac:dyDescent="0.35">
      <c r="A624" t="s">
        <v>758</v>
      </c>
      <c r="B624" s="4">
        <v>44960</v>
      </c>
      <c r="C624" t="s">
        <v>36</v>
      </c>
      <c r="D624" t="s">
        <v>125</v>
      </c>
      <c r="E624">
        <v>7</v>
      </c>
      <c r="F624">
        <v>10</v>
      </c>
      <c r="G624" cm="1">
        <f t="array" ref="G624">SALESTABLE[[#This Row],[Quantity]]*_xlfn.XLOOKUP(SALESTABLE[[#This Row],[Product_ID]],ProductsTable[Product_ID],ProductsTable[Unit_Price],WAASIU,0,1)</f>
        <v>2342.9</v>
      </c>
      <c r="H624" cm="1">
        <f t="array" ref="H624">SALESTABLE[[#This Row],[Quantity]]*_xlfn.XLOOKUP(SALESTABLE[[#This Row],[Product_ID]],ProductsTable[Product_ID],ProductsTable[Cost_Price],WAASIU,0,1)</f>
        <v>1746.64</v>
      </c>
      <c r="I624">
        <f>SALESTABLE[[#This Row],[Revenue]]-SALESTABLE[[#This Row],[COST]]</f>
        <v>596.26</v>
      </c>
      <c r="J624">
        <f>SALESTABLE[[#This Row],[PROFIT]]/SALESTABLE[[#This Row],[Revenue]]*100</f>
        <v>25.449656408724231</v>
      </c>
    </row>
    <row r="625" spans="1:10" x14ac:dyDescent="0.35">
      <c r="A625" t="s">
        <v>759</v>
      </c>
      <c r="B625" s="4">
        <v>45272</v>
      </c>
      <c r="C625" t="s">
        <v>195</v>
      </c>
      <c r="D625" t="s">
        <v>13</v>
      </c>
      <c r="E625">
        <v>3</v>
      </c>
      <c r="F625">
        <v>10</v>
      </c>
      <c r="G625" cm="1">
        <f t="array" ref="G625">SALESTABLE[[#This Row],[Quantity]]*_xlfn.XLOOKUP(SALESTABLE[[#This Row],[Product_ID]],ProductsTable[Product_ID],ProductsTable[Unit_Price],WAASIU,0,1)</f>
        <v>1305.54</v>
      </c>
      <c r="H625" cm="1">
        <f t="array" ref="H625">SALESTABLE[[#This Row],[Quantity]]*_xlfn.XLOOKUP(SALESTABLE[[#This Row],[Product_ID]],ProductsTable[Product_ID],ProductsTable[Cost_Price],WAASIU,0,1)</f>
        <v>692.84999999999991</v>
      </c>
      <c r="I625">
        <f>SALESTABLE[[#This Row],[Revenue]]-SALESTABLE[[#This Row],[COST]]</f>
        <v>612.69000000000005</v>
      </c>
      <c r="J625">
        <f>SALESTABLE[[#This Row],[PROFIT]]/SALESTABLE[[#This Row],[Revenue]]*100</f>
        <v>46.930005974539277</v>
      </c>
    </row>
    <row r="626" spans="1:10" x14ac:dyDescent="0.35">
      <c r="A626" t="s">
        <v>760</v>
      </c>
      <c r="B626" s="4">
        <v>45384</v>
      </c>
      <c r="C626" t="s">
        <v>251</v>
      </c>
      <c r="D626" t="s">
        <v>74</v>
      </c>
      <c r="E626">
        <v>10</v>
      </c>
      <c r="F626">
        <v>10</v>
      </c>
      <c r="G626" cm="1">
        <f t="array" ref="G626">SALESTABLE[[#This Row],[Quantity]]*_xlfn.XLOOKUP(SALESTABLE[[#This Row],[Product_ID]],ProductsTable[Product_ID],ProductsTable[Unit_Price],WAASIU,0,1)</f>
        <v>430</v>
      </c>
      <c r="H626" cm="1">
        <f t="array" ref="H626">SALESTABLE[[#This Row],[Quantity]]*_xlfn.XLOOKUP(SALESTABLE[[#This Row],[Product_ID]],ProductsTable[Product_ID],ProductsTable[Cost_Price],WAASIU,0,1)</f>
        <v>300.5</v>
      </c>
      <c r="I626">
        <f>SALESTABLE[[#This Row],[Revenue]]-SALESTABLE[[#This Row],[COST]]</f>
        <v>129.5</v>
      </c>
      <c r="J626">
        <f>SALESTABLE[[#This Row],[PROFIT]]/SALESTABLE[[#This Row],[Revenue]]*100</f>
        <v>30.116279069767444</v>
      </c>
    </row>
    <row r="627" spans="1:10" x14ac:dyDescent="0.35">
      <c r="A627" t="s">
        <v>761</v>
      </c>
      <c r="B627" s="4">
        <v>45360</v>
      </c>
      <c r="C627" t="s">
        <v>348</v>
      </c>
      <c r="D627" t="s">
        <v>113</v>
      </c>
      <c r="E627">
        <v>20</v>
      </c>
      <c r="F627">
        <v>5</v>
      </c>
      <c r="G627" cm="1">
        <f t="array" ref="G627">SALESTABLE[[#This Row],[Quantity]]*_xlfn.XLOOKUP(SALESTABLE[[#This Row],[Product_ID]],ProductsTable[Product_ID],ProductsTable[Unit_Price],WAASIU,0,1)</f>
        <v>6741.7999999999993</v>
      </c>
      <c r="H627" cm="1">
        <f t="array" ref="H627">SALESTABLE[[#This Row],[Quantity]]*_xlfn.XLOOKUP(SALESTABLE[[#This Row],[Product_ID]],ProductsTable[Product_ID],ProductsTable[Cost_Price],WAASIU,0,1)</f>
        <v>3728.2</v>
      </c>
      <c r="I627">
        <f>SALESTABLE[[#This Row],[Revenue]]-SALESTABLE[[#This Row],[COST]]</f>
        <v>3013.5999999999995</v>
      </c>
      <c r="J627">
        <f>SALESTABLE[[#This Row],[PROFIT]]/SALESTABLE[[#This Row],[Revenue]]*100</f>
        <v>44.700228425643004</v>
      </c>
    </row>
    <row r="628" spans="1:10" x14ac:dyDescent="0.35">
      <c r="A628" t="s">
        <v>762</v>
      </c>
      <c r="B628" s="4">
        <v>45566</v>
      </c>
      <c r="C628" t="s">
        <v>27</v>
      </c>
      <c r="D628" t="s">
        <v>13</v>
      </c>
      <c r="E628">
        <v>5</v>
      </c>
      <c r="F628">
        <v>10</v>
      </c>
      <c r="G628" cm="1">
        <f t="array" ref="G628">SALESTABLE[[#This Row],[Quantity]]*_xlfn.XLOOKUP(SALESTABLE[[#This Row],[Product_ID]],ProductsTable[Product_ID],ProductsTable[Unit_Price],WAASIU,0,1)</f>
        <v>2175.9</v>
      </c>
      <c r="H628" cm="1">
        <f t="array" ref="H628">SALESTABLE[[#This Row],[Quantity]]*_xlfn.XLOOKUP(SALESTABLE[[#This Row],[Product_ID]],ProductsTable[Product_ID],ProductsTable[Cost_Price],WAASIU,0,1)</f>
        <v>1154.75</v>
      </c>
      <c r="I628">
        <f>SALESTABLE[[#This Row],[Revenue]]-SALESTABLE[[#This Row],[COST]]</f>
        <v>1021.1500000000001</v>
      </c>
      <c r="J628">
        <f>SALESTABLE[[#This Row],[PROFIT]]/SALESTABLE[[#This Row],[Revenue]]*100</f>
        <v>46.930005974539277</v>
      </c>
    </row>
    <row r="629" spans="1:10" x14ac:dyDescent="0.35">
      <c r="A629" t="s">
        <v>763</v>
      </c>
      <c r="B629" s="4">
        <v>45063</v>
      </c>
      <c r="C629" t="s">
        <v>171</v>
      </c>
      <c r="D629" t="s">
        <v>52</v>
      </c>
      <c r="E629">
        <v>14</v>
      </c>
      <c r="F629">
        <v>10</v>
      </c>
      <c r="G629" cm="1">
        <f t="array" ref="G629">SALESTABLE[[#This Row],[Quantity]]*_xlfn.XLOOKUP(SALESTABLE[[#This Row],[Product_ID]],ProductsTable[Product_ID],ProductsTable[Unit_Price],WAASIU,0,1)</f>
        <v>2572.92</v>
      </c>
      <c r="H629" cm="1">
        <f t="array" ref="H629">SALESTABLE[[#This Row],[Quantity]]*_xlfn.XLOOKUP(SALESTABLE[[#This Row],[Product_ID]],ProductsTable[Product_ID],ProductsTable[Cost_Price],WAASIU,0,1)</f>
        <v>1618.82</v>
      </c>
      <c r="I629">
        <f>SALESTABLE[[#This Row],[Revenue]]-SALESTABLE[[#This Row],[COST]]</f>
        <v>954.10000000000014</v>
      </c>
      <c r="J629">
        <f>SALESTABLE[[#This Row],[PROFIT]]/SALESTABLE[[#This Row],[Revenue]]*100</f>
        <v>37.082381107846338</v>
      </c>
    </row>
    <row r="630" spans="1:10" x14ac:dyDescent="0.35">
      <c r="A630" t="s">
        <v>764</v>
      </c>
      <c r="B630" s="4">
        <v>45299</v>
      </c>
      <c r="C630" t="s">
        <v>73</v>
      </c>
      <c r="D630" t="s">
        <v>22</v>
      </c>
      <c r="E630">
        <v>12</v>
      </c>
      <c r="F630">
        <v>10</v>
      </c>
      <c r="G630" cm="1">
        <f t="array" ref="G630">SALESTABLE[[#This Row],[Quantity]]*_xlfn.XLOOKUP(SALESTABLE[[#This Row],[Product_ID]],ProductsTable[Product_ID],ProductsTable[Unit_Price],WAASIU,0,1)</f>
        <v>5036.04</v>
      </c>
      <c r="H630" cm="1">
        <f t="array" ref="H630">SALESTABLE[[#This Row],[Quantity]]*_xlfn.XLOOKUP(SALESTABLE[[#This Row],[Product_ID]],ProductsTable[Product_ID],ProductsTable[Cost_Price],WAASIU,0,1)</f>
        <v>2561.04</v>
      </c>
      <c r="I630">
        <f>SALESTABLE[[#This Row],[Revenue]]-SALESTABLE[[#This Row],[COST]]</f>
        <v>2475</v>
      </c>
      <c r="J630">
        <f>SALESTABLE[[#This Row],[PROFIT]]/SALESTABLE[[#This Row],[Revenue]]*100</f>
        <v>49.145757380799196</v>
      </c>
    </row>
    <row r="631" spans="1:10" x14ac:dyDescent="0.35">
      <c r="A631" t="s">
        <v>765</v>
      </c>
      <c r="B631" s="4">
        <v>45061</v>
      </c>
      <c r="C631" t="s">
        <v>71</v>
      </c>
      <c r="D631" t="s">
        <v>125</v>
      </c>
      <c r="E631">
        <v>13</v>
      </c>
      <c r="F631">
        <v>20</v>
      </c>
      <c r="G631" cm="1">
        <f t="array" ref="G631">SALESTABLE[[#This Row],[Quantity]]*_xlfn.XLOOKUP(SALESTABLE[[#This Row],[Product_ID]],ProductsTable[Product_ID],ProductsTable[Unit_Price],WAASIU,0,1)</f>
        <v>4351.0999999999995</v>
      </c>
      <c r="H631" cm="1">
        <f t="array" ref="H631">SALESTABLE[[#This Row],[Quantity]]*_xlfn.XLOOKUP(SALESTABLE[[#This Row],[Product_ID]],ProductsTable[Product_ID],ProductsTable[Cost_Price],WAASIU,0,1)</f>
        <v>3243.76</v>
      </c>
      <c r="I631">
        <f>SALESTABLE[[#This Row],[Revenue]]-SALESTABLE[[#This Row],[COST]]</f>
        <v>1107.3399999999992</v>
      </c>
      <c r="J631">
        <f>SALESTABLE[[#This Row],[PROFIT]]/SALESTABLE[[#This Row],[Revenue]]*100</f>
        <v>25.449656408724213</v>
      </c>
    </row>
    <row r="632" spans="1:10" x14ac:dyDescent="0.35">
      <c r="A632" t="s">
        <v>766</v>
      </c>
      <c r="B632" s="4">
        <v>45646</v>
      </c>
      <c r="C632" t="s">
        <v>90</v>
      </c>
      <c r="D632" t="s">
        <v>84</v>
      </c>
      <c r="E632">
        <v>20</v>
      </c>
      <c r="F632">
        <v>10</v>
      </c>
      <c r="G632" cm="1">
        <f t="array" ref="G632">SALESTABLE[[#This Row],[Quantity]]*_xlfn.XLOOKUP(SALESTABLE[[#This Row],[Product_ID]],ProductsTable[Product_ID],ProductsTable[Unit_Price],WAASIU,0,1)</f>
        <v>5378</v>
      </c>
      <c r="H632" cm="1">
        <f t="array" ref="H632">SALESTABLE[[#This Row],[Quantity]]*_xlfn.XLOOKUP(SALESTABLE[[#This Row],[Product_ID]],ProductsTable[Product_ID],ProductsTable[Cost_Price],WAASIU,0,1)</f>
        <v>3117.2000000000003</v>
      </c>
      <c r="I632">
        <f>SALESTABLE[[#This Row],[Revenue]]-SALESTABLE[[#This Row],[COST]]</f>
        <v>2260.7999999999997</v>
      </c>
      <c r="J632">
        <f>SALESTABLE[[#This Row],[PROFIT]]/SALESTABLE[[#This Row],[Revenue]]*100</f>
        <v>42.037932316846408</v>
      </c>
    </row>
    <row r="633" spans="1:10" x14ac:dyDescent="0.35">
      <c r="A633" t="s">
        <v>767</v>
      </c>
      <c r="B633" s="4">
        <v>45310</v>
      </c>
      <c r="C633" t="s">
        <v>198</v>
      </c>
      <c r="D633" t="s">
        <v>84</v>
      </c>
      <c r="E633">
        <v>6</v>
      </c>
      <c r="F633">
        <v>0</v>
      </c>
      <c r="G633" cm="1">
        <f t="array" ref="G633">SALESTABLE[[#This Row],[Quantity]]*_xlfn.XLOOKUP(SALESTABLE[[#This Row],[Product_ID]],ProductsTable[Product_ID],ProductsTable[Unit_Price],WAASIU,0,1)</f>
        <v>1613.3999999999999</v>
      </c>
      <c r="H633" cm="1">
        <f t="array" ref="H633">SALESTABLE[[#This Row],[Quantity]]*_xlfn.XLOOKUP(SALESTABLE[[#This Row],[Product_ID]],ProductsTable[Product_ID],ProductsTable[Cost_Price],WAASIU,0,1)</f>
        <v>935.16000000000008</v>
      </c>
      <c r="I633">
        <f>SALESTABLE[[#This Row],[Revenue]]-SALESTABLE[[#This Row],[COST]]</f>
        <v>678.23999999999978</v>
      </c>
      <c r="J633">
        <f>SALESTABLE[[#This Row],[PROFIT]]/SALESTABLE[[#This Row],[Revenue]]*100</f>
        <v>42.037932316846401</v>
      </c>
    </row>
    <row r="634" spans="1:10" x14ac:dyDescent="0.35">
      <c r="A634" t="s">
        <v>768</v>
      </c>
      <c r="B634" s="4">
        <v>45591</v>
      </c>
      <c r="C634" t="s">
        <v>430</v>
      </c>
      <c r="D634" t="s">
        <v>31</v>
      </c>
      <c r="E634">
        <v>9</v>
      </c>
      <c r="F634">
        <v>5</v>
      </c>
      <c r="G634" cm="1">
        <f t="array" ref="G634">SALESTABLE[[#This Row],[Quantity]]*_xlfn.XLOOKUP(SALESTABLE[[#This Row],[Product_ID]],ProductsTable[Product_ID],ProductsTable[Unit_Price],WAASIU,0,1)</f>
        <v>1558.2599999999998</v>
      </c>
      <c r="H634" cm="1">
        <f t="array" ref="H634">SALESTABLE[[#This Row],[Quantity]]*_xlfn.XLOOKUP(SALESTABLE[[#This Row],[Product_ID]],ProductsTable[Product_ID],ProductsTable[Cost_Price],WAASIU,0,1)</f>
        <v>902.61</v>
      </c>
      <c r="I634">
        <f>SALESTABLE[[#This Row],[Revenue]]-SALESTABLE[[#This Row],[COST]]</f>
        <v>655.64999999999975</v>
      </c>
      <c r="J634">
        <f>SALESTABLE[[#This Row],[PROFIT]]/SALESTABLE[[#This Row],[Revenue]]*100</f>
        <v>42.075776828000457</v>
      </c>
    </row>
    <row r="635" spans="1:10" x14ac:dyDescent="0.35">
      <c r="A635" t="s">
        <v>769</v>
      </c>
      <c r="B635" s="4">
        <v>45330</v>
      </c>
      <c r="C635" t="s">
        <v>102</v>
      </c>
      <c r="D635" t="s">
        <v>100</v>
      </c>
      <c r="E635">
        <v>9</v>
      </c>
      <c r="F635">
        <v>15</v>
      </c>
      <c r="G635" cm="1">
        <f t="array" ref="G635">SALESTABLE[[#This Row],[Quantity]]*_xlfn.XLOOKUP(SALESTABLE[[#This Row],[Product_ID]],ProductsTable[Product_ID],ProductsTable[Unit_Price],WAASIU,0,1)</f>
        <v>3683.88</v>
      </c>
      <c r="H635" cm="1">
        <f t="array" ref="H635">SALESTABLE[[#This Row],[Quantity]]*_xlfn.XLOOKUP(SALESTABLE[[#This Row],[Product_ID]],ProductsTable[Product_ID],ProductsTable[Cost_Price],WAASIU,0,1)</f>
        <v>1913.8500000000001</v>
      </c>
      <c r="I635">
        <f>SALESTABLE[[#This Row],[Revenue]]-SALESTABLE[[#This Row],[COST]]</f>
        <v>1770.03</v>
      </c>
      <c r="J635">
        <f>SALESTABLE[[#This Row],[PROFIT]]/SALESTABLE[[#This Row],[Revenue]]*100</f>
        <v>48.047982018958265</v>
      </c>
    </row>
    <row r="636" spans="1:10" x14ac:dyDescent="0.35">
      <c r="A636" t="s">
        <v>770</v>
      </c>
      <c r="B636" s="4">
        <v>45089</v>
      </c>
      <c r="C636" t="s">
        <v>76</v>
      </c>
      <c r="D636" t="s">
        <v>77</v>
      </c>
      <c r="E636">
        <v>3</v>
      </c>
      <c r="F636">
        <v>20</v>
      </c>
      <c r="G636" cm="1">
        <f t="array" ref="G636">SALESTABLE[[#This Row],[Quantity]]*_xlfn.XLOOKUP(SALESTABLE[[#This Row],[Product_ID]],ProductsTable[Product_ID],ProductsTable[Unit_Price],WAASIU,0,1)</f>
        <v>275.39999999999998</v>
      </c>
      <c r="H636" cm="1">
        <f t="array" ref="H636">SALESTABLE[[#This Row],[Quantity]]*_xlfn.XLOOKUP(SALESTABLE[[#This Row],[Product_ID]],ProductsTable[Product_ID],ProductsTable[Cost_Price],WAASIU,0,1)</f>
        <v>146.91</v>
      </c>
      <c r="I636">
        <f>SALESTABLE[[#This Row],[Revenue]]-SALESTABLE[[#This Row],[COST]]</f>
        <v>128.48999999999998</v>
      </c>
      <c r="J636">
        <f>SALESTABLE[[#This Row],[PROFIT]]/SALESTABLE[[#This Row],[Revenue]]*100</f>
        <v>46.655773420479299</v>
      </c>
    </row>
    <row r="637" spans="1:10" x14ac:dyDescent="0.35">
      <c r="A637" t="s">
        <v>771</v>
      </c>
      <c r="B637" s="4">
        <v>45540</v>
      </c>
      <c r="C637" t="s">
        <v>54</v>
      </c>
      <c r="D637" t="s">
        <v>133</v>
      </c>
      <c r="E637">
        <v>15</v>
      </c>
      <c r="F637">
        <v>5</v>
      </c>
      <c r="G637" cm="1">
        <f t="array" ref="G637">SALESTABLE[[#This Row],[Quantity]]*_xlfn.XLOOKUP(SALESTABLE[[#This Row],[Product_ID]],ProductsTable[Product_ID],ProductsTable[Unit_Price],WAASIU,0,1)</f>
        <v>5265</v>
      </c>
      <c r="H637" cm="1">
        <f t="array" ref="H637">SALESTABLE[[#This Row],[Quantity]]*_xlfn.XLOOKUP(SALESTABLE[[#This Row],[Product_ID]],ProductsTable[Product_ID],ProductsTable[Cost_Price],WAASIU,0,1)</f>
        <v>3504.45</v>
      </c>
      <c r="I637">
        <f>SALESTABLE[[#This Row],[Revenue]]-SALESTABLE[[#This Row],[COST]]</f>
        <v>1760.5500000000002</v>
      </c>
      <c r="J637">
        <f>SALESTABLE[[#This Row],[PROFIT]]/SALESTABLE[[#This Row],[Revenue]]*100</f>
        <v>33.438746438746442</v>
      </c>
    </row>
    <row r="638" spans="1:10" x14ac:dyDescent="0.35">
      <c r="A638" t="s">
        <v>772</v>
      </c>
      <c r="B638" s="4">
        <v>45322</v>
      </c>
      <c r="C638" t="s">
        <v>169</v>
      </c>
      <c r="D638" t="s">
        <v>107</v>
      </c>
      <c r="E638">
        <v>8</v>
      </c>
      <c r="F638">
        <v>10</v>
      </c>
      <c r="G638" cm="1">
        <f t="array" ref="G638">SALESTABLE[[#This Row],[Quantity]]*_xlfn.XLOOKUP(SALESTABLE[[#This Row],[Product_ID]],ProductsTable[Product_ID],ProductsTable[Unit_Price],WAASIU,0,1)</f>
        <v>520.08000000000004</v>
      </c>
      <c r="H638" cm="1">
        <f t="array" ref="H638">SALESTABLE[[#This Row],[Quantity]]*_xlfn.XLOOKUP(SALESTABLE[[#This Row],[Product_ID]],ProductsTable[Product_ID],ProductsTable[Cost_Price],WAASIU,0,1)</f>
        <v>294.64</v>
      </c>
      <c r="I638">
        <f>SALESTABLE[[#This Row],[Revenue]]-SALESTABLE[[#This Row],[COST]]</f>
        <v>225.44000000000005</v>
      </c>
      <c r="J638">
        <f>SALESTABLE[[#This Row],[PROFIT]]/SALESTABLE[[#This Row],[Revenue]]*100</f>
        <v>43.347177357329649</v>
      </c>
    </row>
    <row r="639" spans="1:10" x14ac:dyDescent="0.35">
      <c r="A639" t="s">
        <v>773</v>
      </c>
      <c r="B639" s="4">
        <v>45087</v>
      </c>
      <c r="C639" t="s">
        <v>602</v>
      </c>
      <c r="D639" t="s">
        <v>133</v>
      </c>
      <c r="E639">
        <v>3</v>
      </c>
      <c r="F639">
        <v>15</v>
      </c>
      <c r="G639" cm="1">
        <f t="array" ref="G639">SALESTABLE[[#This Row],[Quantity]]*_xlfn.XLOOKUP(SALESTABLE[[#This Row],[Product_ID]],ProductsTable[Product_ID],ProductsTable[Unit_Price],WAASIU,0,1)</f>
        <v>1053</v>
      </c>
      <c r="H639" cm="1">
        <f t="array" ref="H639">SALESTABLE[[#This Row],[Quantity]]*_xlfn.XLOOKUP(SALESTABLE[[#This Row],[Product_ID]],ProductsTable[Product_ID],ProductsTable[Cost_Price],WAASIU,0,1)</f>
        <v>700.89</v>
      </c>
      <c r="I639">
        <f>SALESTABLE[[#This Row],[Revenue]]-SALESTABLE[[#This Row],[COST]]</f>
        <v>352.11</v>
      </c>
      <c r="J639">
        <f>SALESTABLE[[#This Row],[PROFIT]]/SALESTABLE[[#This Row],[Revenue]]*100</f>
        <v>33.438746438746442</v>
      </c>
    </row>
    <row r="640" spans="1:10" x14ac:dyDescent="0.35">
      <c r="A640" t="s">
        <v>774</v>
      </c>
      <c r="B640" s="4">
        <v>45546</v>
      </c>
      <c r="C640" t="s">
        <v>179</v>
      </c>
      <c r="D640" t="s">
        <v>28</v>
      </c>
      <c r="E640">
        <v>4</v>
      </c>
      <c r="F640">
        <v>20</v>
      </c>
      <c r="G640" cm="1">
        <f t="array" ref="G640">SALESTABLE[[#This Row],[Quantity]]*_xlfn.XLOOKUP(SALESTABLE[[#This Row],[Product_ID]],ProductsTable[Product_ID],ProductsTable[Unit_Price],WAASIU,0,1)</f>
        <v>1701.92</v>
      </c>
      <c r="H640" cm="1">
        <f t="array" ref="H640">SALESTABLE[[#This Row],[Quantity]]*_xlfn.XLOOKUP(SALESTABLE[[#This Row],[Product_ID]],ProductsTable[Product_ID],ProductsTable[Cost_Price],WAASIU,0,1)</f>
        <v>933.92</v>
      </c>
      <c r="I640">
        <f>SALESTABLE[[#This Row],[Revenue]]-SALESTABLE[[#This Row],[COST]]</f>
        <v>768.00000000000011</v>
      </c>
      <c r="J640">
        <f>SALESTABLE[[#This Row],[PROFIT]]/SALESTABLE[[#This Row],[Revenue]]*100</f>
        <v>45.12550531164802</v>
      </c>
    </row>
    <row r="641" spans="1:10" x14ac:dyDescent="0.35">
      <c r="A641" t="s">
        <v>775</v>
      </c>
      <c r="B641" s="4">
        <v>44961</v>
      </c>
      <c r="C641" t="s">
        <v>43</v>
      </c>
      <c r="D641" t="s">
        <v>44</v>
      </c>
      <c r="E641">
        <v>15</v>
      </c>
      <c r="F641">
        <v>20</v>
      </c>
      <c r="G641" cm="1">
        <f t="array" ref="G641">SALESTABLE[[#This Row],[Quantity]]*_xlfn.XLOOKUP(SALESTABLE[[#This Row],[Product_ID]],ProductsTable[Product_ID],ProductsTable[Unit_Price],WAASIU,0,1)</f>
        <v>2012.85</v>
      </c>
      <c r="H641" cm="1">
        <f t="array" ref="H641">SALESTABLE[[#This Row],[Quantity]]*_xlfn.XLOOKUP(SALESTABLE[[#This Row],[Product_ID]],ProductsTable[Product_ID],ProductsTable[Cost_Price],WAASIU,0,1)</f>
        <v>1249.8</v>
      </c>
      <c r="I641">
        <f>SALESTABLE[[#This Row],[Revenue]]-SALESTABLE[[#This Row],[COST]]</f>
        <v>763.05</v>
      </c>
      <c r="J641">
        <f>SALESTABLE[[#This Row],[PROFIT]]/SALESTABLE[[#This Row],[Revenue]]*100</f>
        <v>37.908935092033687</v>
      </c>
    </row>
    <row r="642" spans="1:10" x14ac:dyDescent="0.35">
      <c r="A642" t="s">
        <v>776</v>
      </c>
      <c r="B642" s="4">
        <v>45566</v>
      </c>
      <c r="C642" t="s">
        <v>86</v>
      </c>
      <c r="D642" t="s">
        <v>44</v>
      </c>
      <c r="E642">
        <v>16</v>
      </c>
      <c r="F642">
        <v>10</v>
      </c>
      <c r="G642" cm="1">
        <f t="array" ref="G642">SALESTABLE[[#This Row],[Quantity]]*_xlfn.XLOOKUP(SALESTABLE[[#This Row],[Product_ID]],ProductsTable[Product_ID],ProductsTable[Unit_Price],WAASIU,0,1)</f>
        <v>2147.04</v>
      </c>
      <c r="H642" cm="1">
        <f t="array" ref="H642">SALESTABLE[[#This Row],[Quantity]]*_xlfn.XLOOKUP(SALESTABLE[[#This Row],[Product_ID]],ProductsTable[Product_ID],ProductsTable[Cost_Price],WAASIU,0,1)</f>
        <v>1333.12</v>
      </c>
      <c r="I642">
        <f>SALESTABLE[[#This Row],[Revenue]]-SALESTABLE[[#This Row],[COST]]</f>
        <v>813.92000000000007</v>
      </c>
      <c r="J642">
        <f>SALESTABLE[[#This Row],[PROFIT]]/SALESTABLE[[#This Row],[Revenue]]*100</f>
        <v>37.908935092033687</v>
      </c>
    </row>
    <row r="643" spans="1:10" x14ac:dyDescent="0.35">
      <c r="A643" t="s">
        <v>777</v>
      </c>
      <c r="B643" s="4">
        <v>45127</v>
      </c>
      <c r="C643" t="s">
        <v>86</v>
      </c>
      <c r="D643" t="s">
        <v>28</v>
      </c>
      <c r="E643">
        <v>13</v>
      </c>
      <c r="F643">
        <v>5</v>
      </c>
      <c r="G643" cm="1">
        <f t="array" ref="G643">SALESTABLE[[#This Row],[Quantity]]*_xlfn.XLOOKUP(SALESTABLE[[#This Row],[Product_ID]],ProductsTable[Product_ID],ProductsTable[Unit_Price],WAASIU,0,1)</f>
        <v>5531.24</v>
      </c>
      <c r="H643" cm="1">
        <f t="array" ref="H643">SALESTABLE[[#This Row],[Quantity]]*_xlfn.XLOOKUP(SALESTABLE[[#This Row],[Product_ID]],ProductsTable[Product_ID],ProductsTable[Cost_Price],WAASIU,0,1)</f>
        <v>3035.24</v>
      </c>
      <c r="I643">
        <f>SALESTABLE[[#This Row],[Revenue]]-SALESTABLE[[#This Row],[COST]]</f>
        <v>2496</v>
      </c>
      <c r="J643">
        <f>SALESTABLE[[#This Row],[PROFIT]]/SALESTABLE[[#This Row],[Revenue]]*100</f>
        <v>45.12550531164802</v>
      </c>
    </row>
    <row r="644" spans="1:10" x14ac:dyDescent="0.35">
      <c r="A644" t="s">
        <v>778</v>
      </c>
      <c r="B644" s="4">
        <v>45259</v>
      </c>
      <c r="C644" t="s">
        <v>187</v>
      </c>
      <c r="D644" t="s">
        <v>22</v>
      </c>
      <c r="E644">
        <v>17</v>
      </c>
      <c r="F644">
        <v>5</v>
      </c>
      <c r="G644" cm="1">
        <f t="array" ref="G644">SALESTABLE[[#This Row],[Quantity]]*_xlfn.XLOOKUP(SALESTABLE[[#This Row],[Product_ID]],ProductsTable[Product_ID],ProductsTable[Unit_Price],WAASIU,0,1)</f>
        <v>7134.39</v>
      </c>
      <c r="H644" cm="1">
        <f t="array" ref="H644">SALESTABLE[[#This Row],[Quantity]]*_xlfn.XLOOKUP(SALESTABLE[[#This Row],[Product_ID]],ProductsTable[Product_ID],ProductsTable[Cost_Price],WAASIU,0,1)</f>
        <v>3628.14</v>
      </c>
      <c r="I644">
        <f>SALESTABLE[[#This Row],[Revenue]]-SALESTABLE[[#This Row],[COST]]</f>
        <v>3506.2500000000005</v>
      </c>
      <c r="J644">
        <f>SALESTABLE[[#This Row],[PROFIT]]/SALESTABLE[[#This Row],[Revenue]]*100</f>
        <v>49.145757380799203</v>
      </c>
    </row>
    <row r="645" spans="1:10" x14ac:dyDescent="0.35">
      <c r="A645" t="s">
        <v>779</v>
      </c>
      <c r="B645" s="4">
        <v>45566</v>
      </c>
      <c r="C645" t="s">
        <v>187</v>
      </c>
      <c r="D645" t="s">
        <v>137</v>
      </c>
      <c r="E645">
        <v>20</v>
      </c>
      <c r="F645">
        <v>10</v>
      </c>
      <c r="G645" cm="1">
        <f t="array" ref="G645">SALESTABLE[[#This Row],[Quantity]]*_xlfn.XLOOKUP(SALESTABLE[[#This Row],[Product_ID]],ProductsTable[Product_ID],ProductsTable[Unit_Price],WAASIU,0,1)</f>
        <v>7268.8</v>
      </c>
      <c r="H645" cm="1">
        <f t="array" ref="H645">SALESTABLE[[#This Row],[Quantity]]*_xlfn.XLOOKUP(SALESTABLE[[#This Row],[Product_ID]],ProductsTable[Product_ID],ProductsTable[Cost_Price],WAASIU,0,1)</f>
        <v>5001</v>
      </c>
      <c r="I645">
        <f>SALESTABLE[[#This Row],[Revenue]]-SALESTABLE[[#This Row],[COST]]</f>
        <v>2267.8000000000002</v>
      </c>
      <c r="J645">
        <f>SALESTABLE[[#This Row],[PROFIT]]/SALESTABLE[[#This Row],[Revenue]]*100</f>
        <v>31.199097512656838</v>
      </c>
    </row>
    <row r="646" spans="1:10" x14ac:dyDescent="0.35">
      <c r="A646" t="s">
        <v>780</v>
      </c>
      <c r="B646" s="4">
        <v>45319</v>
      </c>
      <c r="C646" t="s">
        <v>149</v>
      </c>
      <c r="D646" t="s">
        <v>110</v>
      </c>
      <c r="E646">
        <v>11</v>
      </c>
      <c r="F646">
        <v>10</v>
      </c>
      <c r="G646" cm="1">
        <f t="array" ref="G646">SALESTABLE[[#This Row],[Quantity]]*_xlfn.XLOOKUP(SALESTABLE[[#This Row],[Product_ID]],ProductsTable[Product_ID],ProductsTable[Unit_Price],WAASIU,0,1)</f>
        <v>5404.5199999999995</v>
      </c>
      <c r="H646" cm="1">
        <f t="array" ref="H646">SALESTABLE[[#This Row],[Quantity]]*_xlfn.XLOOKUP(SALESTABLE[[#This Row],[Product_ID]],ProductsTable[Product_ID],ProductsTable[Cost_Price],WAASIU,0,1)</f>
        <v>2949.21</v>
      </c>
      <c r="I646">
        <f>SALESTABLE[[#This Row],[Revenue]]-SALESTABLE[[#This Row],[COST]]</f>
        <v>2455.3099999999995</v>
      </c>
      <c r="J646">
        <f>SALESTABLE[[#This Row],[PROFIT]]/SALESTABLE[[#This Row],[Revenue]]*100</f>
        <v>45.430676544818041</v>
      </c>
    </row>
    <row r="647" spans="1:10" x14ac:dyDescent="0.35">
      <c r="A647" t="s">
        <v>781</v>
      </c>
      <c r="B647" s="4">
        <v>45406</v>
      </c>
      <c r="C647" t="s">
        <v>301</v>
      </c>
      <c r="D647" t="s">
        <v>113</v>
      </c>
      <c r="E647">
        <v>17</v>
      </c>
      <c r="F647">
        <v>5</v>
      </c>
      <c r="G647" cm="1">
        <f t="array" ref="G647">SALESTABLE[[#This Row],[Quantity]]*_xlfn.XLOOKUP(SALESTABLE[[#This Row],[Product_ID]],ProductsTable[Product_ID],ProductsTable[Unit_Price],WAASIU,0,1)</f>
        <v>5730.53</v>
      </c>
      <c r="H647" cm="1">
        <f t="array" ref="H647">SALESTABLE[[#This Row],[Quantity]]*_xlfn.XLOOKUP(SALESTABLE[[#This Row],[Product_ID]],ProductsTable[Product_ID],ProductsTable[Cost_Price],WAASIU,0,1)</f>
        <v>3168.97</v>
      </c>
      <c r="I647">
        <f>SALESTABLE[[#This Row],[Revenue]]-SALESTABLE[[#This Row],[COST]]</f>
        <v>2561.56</v>
      </c>
      <c r="J647">
        <f>SALESTABLE[[#This Row],[PROFIT]]/SALESTABLE[[#This Row],[Revenue]]*100</f>
        <v>44.700228425643004</v>
      </c>
    </row>
    <row r="648" spans="1:10" x14ac:dyDescent="0.35">
      <c r="A648" t="s">
        <v>782</v>
      </c>
      <c r="B648" s="4">
        <v>45119</v>
      </c>
      <c r="C648" t="s">
        <v>81</v>
      </c>
      <c r="D648" t="s">
        <v>248</v>
      </c>
      <c r="E648">
        <v>13</v>
      </c>
      <c r="F648">
        <v>5</v>
      </c>
      <c r="G648" cm="1">
        <f t="array" ref="G648">SALESTABLE[[#This Row],[Quantity]]*_xlfn.XLOOKUP(SALESTABLE[[#This Row],[Product_ID]],ProductsTable[Product_ID],ProductsTable[Unit_Price],WAASIU,0,1)</f>
        <v>2427.23</v>
      </c>
      <c r="H648" cm="1">
        <f t="array" ref="H648">SALESTABLE[[#This Row],[Quantity]]*_xlfn.XLOOKUP(SALESTABLE[[#This Row],[Product_ID]],ProductsTable[Product_ID],ProductsTable[Cost_Price],WAASIU,0,1)</f>
        <v>1627.47</v>
      </c>
      <c r="I648">
        <f>SALESTABLE[[#This Row],[Revenue]]-SALESTABLE[[#This Row],[COST]]</f>
        <v>799.76</v>
      </c>
      <c r="J648">
        <f>SALESTABLE[[#This Row],[PROFIT]]/SALESTABLE[[#This Row],[Revenue]]*100</f>
        <v>32.949493867495043</v>
      </c>
    </row>
    <row r="649" spans="1:10" x14ac:dyDescent="0.35">
      <c r="A649" t="s">
        <v>783</v>
      </c>
      <c r="B649" s="4">
        <v>45577</v>
      </c>
      <c r="C649" t="s">
        <v>104</v>
      </c>
      <c r="D649" t="s">
        <v>31</v>
      </c>
      <c r="E649">
        <v>20</v>
      </c>
      <c r="F649">
        <v>0</v>
      </c>
      <c r="G649" cm="1">
        <f t="array" ref="G649">SALESTABLE[[#This Row],[Quantity]]*_xlfn.XLOOKUP(SALESTABLE[[#This Row],[Product_ID]],ProductsTable[Product_ID],ProductsTable[Unit_Price],WAASIU,0,1)</f>
        <v>3462.7999999999997</v>
      </c>
      <c r="H649" cm="1">
        <f t="array" ref="H649">SALESTABLE[[#This Row],[Quantity]]*_xlfn.XLOOKUP(SALESTABLE[[#This Row],[Product_ID]],ProductsTable[Product_ID],ProductsTable[Cost_Price],WAASIU,0,1)</f>
        <v>2005.8000000000002</v>
      </c>
      <c r="I649">
        <f>SALESTABLE[[#This Row],[Revenue]]-SALESTABLE[[#This Row],[COST]]</f>
        <v>1456.9999999999995</v>
      </c>
      <c r="J649">
        <f>SALESTABLE[[#This Row],[PROFIT]]/SALESTABLE[[#This Row],[Revenue]]*100</f>
        <v>42.07577682800045</v>
      </c>
    </row>
    <row r="650" spans="1:10" x14ac:dyDescent="0.35">
      <c r="A650" t="s">
        <v>784</v>
      </c>
      <c r="B650" s="4">
        <v>45275</v>
      </c>
      <c r="C650" t="s">
        <v>51</v>
      </c>
      <c r="D650" t="s">
        <v>110</v>
      </c>
      <c r="E650">
        <v>13</v>
      </c>
      <c r="F650">
        <v>15</v>
      </c>
      <c r="G650" cm="1">
        <f t="array" ref="G650">SALESTABLE[[#This Row],[Quantity]]*_xlfn.XLOOKUP(SALESTABLE[[#This Row],[Product_ID]],ProductsTable[Product_ID],ProductsTable[Unit_Price],WAASIU,0,1)</f>
        <v>6387.16</v>
      </c>
      <c r="H650" cm="1">
        <f t="array" ref="H650">SALESTABLE[[#This Row],[Quantity]]*_xlfn.XLOOKUP(SALESTABLE[[#This Row],[Product_ID]],ProductsTable[Product_ID],ProductsTable[Cost_Price],WAASIU,0,1)</f>
        <v>3485.4300000000003</v>
      </c>
      <c r="I650">
        <f>SALESTABLE[[#This Row],[Revenue]]-SALESTABLE[[#This Row],[COST]]</f>
        <v>2901.7299999999996</v>
      </c>
      <c r="J650">
        <f>SALESTABLE[[#This Row],[PROFIT]]/SALESTABLE[[#This Row],[Revenue]]*100</f>
        <v>45.430676544818034</v>
      </c>
    </row>
    <row r="651" spans="1:10" x14ac:dyDescent="0.35">
      <c r="A651" t="s">
        <v>785</v>
      </c>
      <c r="B651" s="4">
        <v>45433</v>
      </c>
      <c r="C651" t="s">
        <v>92</v>
      </c>
      <c r="D651" t="s">
        <v>93</v>
      </c>
      <c r="E651">
        <v>18</v>
      </c>
      <c r="F651">
        <v>5</v>
      </c>
      <c r="G651" cm="1">
        <f t="array" ref="G651">SALESTABLE[[#This Row],[Quantity]]*_xlfn.XLOOKUP(SALESTABLE[[#This Row],[Product_ID]],ProductsTable[Product_ID],ProductsTable[Unit_Price],WAASIU,0,1)</f>
        <v>3852.54</v>
      </c>
      <c r="H651" cm="1">
        <f t="array" ref="H651">SALESTABLE[[#This Row],[Quantity]]*_xlfn.XLOOKUP(SALESTABLE[[#This Row],[Product_ID]],ProductsTable[Product_ID],ProductsTable[Cost_Price],WAASIU,0,1)</f>
        <v>2820.78</v>
      </c>
      <c r="I651">
        <f>SALESTABLE[[#This Row],[Revenue]]-SALESTABLE[[#This Row],[COST]]</f>
        <v>1031.7599999999998</v>
      </c>
      <c r="J651">
        <f>SALESTABLE[[#This Row],[PROFIT]]/SALESTABLE[[#This Row],[Revenue]]*100</f>
        <v>26.781292342195012</v>
      </c>
    </row>
    <row r="652" spans="1:10" x14ac:dyDescent="0.35">
      <c r="A652" t="s">
        <v>786</v>
      </c>
      <c r="B652" s="4">
        <v>45537</v>
      </c>
      <c r="C652" t="s">
        <v>304</v>
      </c>
      <c r="D652" t="s">
        <v>25</v>
      </c>
      <c r="E652">
        <v>14</v>
      </c>
      <c r="F652">
        <v>10</v>
      </c>
      <c r="G652" cm="1">
        <f t="array" ref="G652">SALESTABLE[[#This Row],[Quantity]]*_xlfn.XLOOKUP(SALESTABLE[[#This Row],[Product_ID]],ProductsTable[Product_ID],ProductsTable[Unit_Price],WAASIU,0,1)</f>
        <v>2488.64</v>
      </c>
      <c r="H652" cm="1">
        <f t="array" ref="H652">SALESTABLE[[#This Row],[Quantity]]*_xlfn.XLOOKUP(SALESTABLE[[#This Row],[Product_ID]],ProductsTable[Product_ID],ProductsTable[Cost_Price],WAASIU,0,1)</f>
        <v>1286.32</v>
      </c>
      <c r="I652">
        <f>SALESTABLE[[#This Row],[Revenue]]-SALESTABLE[[#This Row],[COST]]</f>
        <v>1202.32</v>
      </c>
      <c r="J652">
        <f>SALESTABLE[[#This Row],[PROFIT]]/SALESTABLE[[#This Row],[Revenue]]*100</f>
        <v>48.312331233123309</v>
      </c>
    </row>
    <row r="653" spans="1:10" x14ac:dyDescent="0.35">
      <c r="A653" t="s">
        <v>787</v>
      </c>
      <c r="B653" s="4">
        <v>45425</v>
      </c>
      <c r="C653" t="s">
        <v>61</v>
      </c>
      <c r="D653" t="s">
        <v>110</v>
      </c>
      <c r="E653">
        <v>16</v>
      </c>
      <c r="F653">
        <v>5</v>
      </c>
      <c r="G653" cm="1">
        <f t="array" ref="G653">SALESTABLE[[#This Row],[Quantity]]*_xlfn.XLOOKUP(SALESTABLE[[#This Row],[Product_ID]],ProductsTable[Product_ID],ProductsTable[Unit_Price],WAASIU,0,1)</f>
        <v>7861.12</v>
      </c>
      <c r="H653" cm="1">
        <f t="array" ref="H653">SALESTABLE[[#This Row],[Quantity]]*_xlfn.XLOOKUP(SALESTABLE[[#This Row],[Product_ID]],ProductsTable[Product_ID],ProductsTable[Cost_Price],WAASIU,0,1)</f>
        <v>4289.76</v>
      </c>
      <c r="I653">
        <f>SALESTABLE[[#This Row],[Revenue]]-SALESTABLE[[#This Row],[COST]]</f>
        <v>3571.3599999999997</v>
      </c>
      <c r="J653">
        <f>SALESTABLE[[#This Row],[PROFIT]]/SALESTABLE[[#This Row],[Revenue]]*100</f>
        <v>45.430676544818041</v>
      </c>
    </row>
    <row r="654" spans="1:10" x14ac:dyDescent="0.35">
      <c r="A654" t="s">
        <v>788</v>
      </c>
      <c r="B654" s="4">
        <v>45599</v>
      </c>
      <c r="C654" t="s">
        <v>38</v>
      </c>
      <c r="D654" t="s">
        <v>25</v>
      </c>
      <c r="E654">
        <v>5</v>
      </c>
      <c r="F654">
        <v>15</v>
      </c>
      <c r="G654" cm="1">
        <f t="array" ref="G654">SALESTABLE[[#This Row],[Quantity]]*_xlfn.XLOOKUP(SALESTABLE[[#This Row],[Product_ID]],ProductsTable[Product_ID],ProductsTable[Unit_Price],WAASIU,0,1)</f>
        <v>888.8</v>
      </c>
      <c r="H654" cm="1">
        <f t="array" ref="H654">SALESTABLE[[#This Row],[Quantity]]*_xlfn.XLOOKUP(SALESTABLE[[#This Row],[Product_ID]],ProductsTable[Product_ID],ProductsTable[Cost_Price],WAASIU,0,1)</f>
        <v>459.4</v>
      </c>
      <c r="I654">
        <f>SALESTABLE[[#This Row],[Revenue]]-SALESTABLE[[#This Row],[COST]]</f>
        <v>429.4</v>
      </c>
      <c r="J654">
        <f>SALESTABLE[[#This Row],[PROFIT]]/SALESTABLE[[#This Row],[Revenue]]*100</f>
        <v>48.312331233123309</v>
      </c>
    </row>
    <row r="655" spans="1:10" x14ac:dyDescent="0.35">
      <c r="A655" t="s">
        <v>789</v>
      </c>
      <c r="B655" s="4">
        <v>44991</v>
      </c>
      <c r="C655" t="s">
        <v>40</v>
      </c>
      <c r="D655" t="s">
        <v>41</v>
      </c>
      <c r="E655">
        <v>13</v>
      </c>
      <c r="F655">
        <v>15</v>
      </c>
      <c r="G655" cm="1">
        <f t="array" ref="G655">SALESTABLE[[#This Row],[Quantity]]*_xlfn.XLOOKUP(SALESTABLE[[#This Row],[Product_ID]],ProductsTable[Product_ID],ProductsTable[Unit_Price],WAASIU,0,1)</f>
        <v>5534.75</v>
      </c>
      <c r="H655" cm="1">
        <f t="array" ref="H655">SALESTABLE[[#This Row],[Quantity]]*_xlfn.XLOOKUP(SALESTABLE[[#This Row],[Product_ID]],ProductsTable[Product_ID],ProductsTable[Cost_Price],WAASIU,0,1)</f>
        <v>3160.69</v>
      </c>
      <c r="I655">
        <f>SALESTABLE[[#This Row],[Revenue]]-SALESTABLE[[#This Row],[COST]]</f>
        <v>2374.06</v>
      </c>
      <c r="J655">
        <f>SALESTABLE[[#This Row],[PROFIT]]/SALESTABLE[[#This Row],[Revenue]]*100</f>
        <v>42.89371697005285</v>
      </c>
    </row>
    <row r="656" spans="1:10" x14ac:dyDescent="0.35">
      <c r="A656" t="s">
        <v>790</v>
      </c>
      <c r="B656" s="4">
        <v>45426</v>
      </c>
      <c r="C656" t="s">
        <v>165</v>
      </c>
      <c r="D656" t="s">
        <v>100</v>
      </c>
      <c r="E656">
        <v>13</v>
      </c>
      <c r="F656">
        <v>20</v>
      </c>
      <c r="G656" cm="1">
        <f t="array" ref="G656">SALESTABLE[[#This Row],[Quantity]]*_xlfn.XLOOKUP(SALESTABLE[[#This Row],[Product_ID]],ProductsTable[Product_ID],ProductsTable[Unit_Price],WAASIU,0,1)</f>
        <v>5321.16</v>
      </c>
      <c r="H656" cm="1">
        <f t="array" ref="H656">SALESTABLE[[#This Row],[Quantity]]*_xlfn.XLOOKUP(SALESTABLE[[#This Row],[Product_ID]],ProductsTable[Product_ID],ProductsTable[Cost_Price],WAASIU,0,1)</f>
        <v>2764.4500000000003</v>
      </c>
      <c r="I656">
        <f>SALESTABLE[[#This Row],[Revenue]]-SALESTABLE[[#This Row],[COST]]</f>
        <v>2556.7099999999996</v>
      </c>
      <c r="J656">
        <f>SALESTABLE[[#This Row],[PROFIT]]/SALESTABLE[[#This Row],[Revenue]]*100</f>
        <v>48.047982018958265</v>
      </c>
    </row>
    <row r="657" spans="1:10" x14ac:dyDescent="0.35">
      <c r="A657" t="s">
        <v>791</v>
      </c>
      <c r="B657" s="4">
        <v>45591</v>
      </c>
      <c r="C657" t="s">
        <v>294</v>
      </c>
      <c r="D657" t="s">
        <v>49</v>
      </c>
      <c r="E657">
        <v>18</v>
      </c>
      <c r="F657">
        <v>10</v>
      </c>
      <c r="G657" cm="1">
        <f t="array" ref="G657">SALESTABLE[[#This Row],[Quantity]]*_xlfn.XLOOKUP(SALESTABLE[[#This Row],[Product_ID]],ProductsTable[Product_ID],ProductsTable[Unit_Price],WAASIU,0,1)</f>
        <v>4133.34</v>
      </c>
      <c r="H657" cm="1">
        <f t="array" ref="H657">SALESTABLE[[#This Row],[Quantity]]*_xlfn.XLOOKUP(SALESTABLE[[#This Row],[Product_ID]],ProductsTable[Product_ID],ProductsTable[Cost_Price],WAASIU,0,1)</f>
        <v>2365.56</v>
      </c>
      <c r="I657">
        <f>SALESTABLE[[#This Row],[Revenue]]-SALESTABLE[[#This Row],[COST]]</f>
        <v>1767.7800000000002</v>
      </c>
      <c r="J657">
        <f>SALESTABLE[[#This Row],[PROFIT]]/SALESTABLE[[#This Row],[Revenue]]*100</f>
        <v>42.76880198580325</v>
      </c>
    </row>
    <row r="658" spans="1:10" x14ac:dyDescent="0.35">
      <c r="A658" t="s">
        <v>792</v>
      </c>
      <c r="B658" s="4">
        <v>45371</v>
      </c>
      <c r="C658" t="s">
        <v>289</v>
      </c>
      <c r="D658" t="s">
        <v>84</v>
      </c>
      <c r="E658">
        <v>5</v>
      </c>
      <c r="F658">
        <v>15</v>
      </c>
      <c r="G658" cm="1">
        <f t="array" ref="G658">SALESTABLE[[#This Row],[Quantity]]*_xlfn.XLOOKUP(SALESTABLE[[#This Row],[Product_ID]],ProductsTable[Product_ID],ProductsTable[Unit_Price],WAASIU,0,1)</f>
        <v>1344.5</v>
      </c>
      <c r="H658" cm="1">
        <f t="array" ref="H658">SALESTABLE[[#This Row],[Quantity]]*_xlfn.XLOOKUP(SALESTABLE[[#This Row],[Product_ID]],ProductsTable[Product_ID],ProductsTable[Cost_Price],WAASIU,0,1)</f>
        <v>779.30000000000007</v>
      </c>
      <c r="I658">
        <f>SALESTABLE[[#This Row],[Revenue]]-SALESTABLE[[#This Row],[COST]]</f>
        <v>565.19999999999993</v>
      </c>
      <c r="J658">
        <f>SALESTABLE[[#This Row],[PROFIT]]/SALESTABLE[[#This Row],[Revenue]]*100</f>
        <v>42.037932316846408</v>
      </c>
    </row>
    <row r="659" spans="1:10" x14ac:dyDescent="0.35">
      <c r="A659" t="s">
        <v>793</v>
      </c>
      <c r="B659" s="4">
        <v>45454</v>
      </c>
      <c r="C659" t="s">
        <v>71</v>
      </c>
      <c r="D659" t="s">
        <v>31</v>
      </c>
      <c r="E659">
        <v>18</v>
      </c>
      <c r="F659">
        <v>5</v>
      </c>
      <c r="G659" cm="1">
        <f t="array" ref="G659">SALESTABLE[[#This Row],[Quantity]]*_xlfn.XLOOKUP(SALESTABLE[[#This Row],[Product_ID]],ProductsTable[Product_ID],ProductsTable[Unit_Price],WAASIU,0,1)</f>
        <v>3116.5199999999995</v>
      </c>
      <c r="H659" cm="1">
        <f t="array" ref="H659">SALESTABLE[[#This Row],[Quantity]]*_xlfn.XLOOKUP(SALESTABLE[[#This Row],[Product_ID]],ProductsTable[Product_ID],ProductsTable[Cost_Price],WAASIU,0,1)</f>
        <v>1805.22</v>
      </c>
      <c r="I659">
        <f>SALESTABLE[[#This Row],[Revenue]]-SALESTABLE[[#This Row],[COST]]</f>
        <v>1311.2999999999995</v>
      </c>
      <c r="J659">
        <f>SALESTABLE[[#This Row],[PROFIT]]/SALESTABLE[[#This Row],[Revenue]]*100</f>
        <v>42.075776828000457</v>
      </c>
    </row>
    <row r="660" spans="1:10" x14ac:dyDescent="0.35">
      <c r="A660" t="s">
        <v>794</v>
      </c>
      <c r="B660" s="4">
        <v>44980</v>
      </c>
      <c r="C660" t="s">
        <v>71</v>
      </c>
      <c r="D660" t="s">
        <v>31</v>
      </c>
      <c r="E660">
        <v>12</v>
      </c>
      <c r="F660">
        <v>20</v>
      </c>
      <c r="G660" cm="1">
        <f t="array" ref="G660">SALESTABLE[[#This Row],[Quantity]]*_xlfn.XLOOKUP(SALESTABLE[[#This Row],[Product_ID]],ProductsTable[Product_ID],ProductsTable[Unit_Price],WAASIU,0,1)</f>
        <v>2077.6799999999998</v>
      </c>
      <c r="H660" cm="1">
        <f t="array" ref="H660">SALESTABLE[[#This Row],[Quantity]]*_xlfn.XLOOKUP(SALESTABLE[[#This Row],[Product_ID]],ProductsTable[Product_ID],ProductsTable[Cost_Price],WAASIU,0,1)</f>
        <v>1203.48</v>
      </c>
      <c r="I660">
        <f>SALESTABLE[[#This Row],[Revenue]]-SALESTABLE[[#This Row],[COST]]</f>
        <v>874.19999999999982</v>
      </c>
      <c r="J660">
        <f>SALESTABLE[[#This Row],[PROFIT]]/SALESTABLE[[#This Row],[Revenue]]*100</f>
        <v>42.075776828000457</v>
      </c>
    </row>
    <row r="661" spans="1:10" x14ac:dyDescent="0.35">
      <c r="A661" t="s">
        <v>795</v>
      </c>
      <c r="B661" s="4">
        <v>44932</v>
      </c>
      <c r="C661" t="s">
        <v>193</v>
      </c>
      <c r="D661" t="s">
        <v>31</v>
      </c>
      <c r="E661">
        <v>2</v>
      </c>
      <c r="F661">
        <v>20</v>
      </c>
      <c r="G661" cm="1">
        <f t="array" ref="G661">SALESTABLE[[#This Row],[Quantity]]*_xlfn.XLOOKUP(SALESTABLE[[#This Row],[Product_ID]],ProductsTable[Product_ID],ProductsTable[Unit_Price],WAASIU,0,1)</f>
        <v>346.28</v>
      </c>
      <c r="H661" cm="1">
        <f t="array" ref="H661">SALESTABLE[[#This Row],[Quantity]]*_xlfn.XLOOKUP(SALESTABLE[[#This Row],[Product_ID]],ProductsTable[Product_ID],ProductsTable[Cost_Price],WAASIU,0,1)</f>
        <v>200.58</v>
      </c>
      <c r="I661">
        <f>SALESTABLE[[#This Row],[Revenue]]-SALESTABLE[[#This Row],[COST]]</f>
        <v>145.69999999999996</v>
      </c>
      <c r="J661">
        <f>SALESTABLE[[#This Row],[PROFIT]]/SALESTABLE[[#This Row],[Revenue]]*100</f>
        <v>42.075776828000457</v>
      </c>
    </row>
    <row r="662" spans="1:10" x14ac:dyDescent="0.35">
      <c r="A662" t="s">
        <v>796</v>
      </c>
      <c r="B662" s="4">
        <v>45570</v>
      </c>
      <c r="C662" t="s">
        <v>174</v>
      </c>
      <c r="D662" t="s">
        <v>139</v>
      </c>
      <c r="E662">
        <v>8</v>
      </c>
      <c r="F662">
        <v>15</v>
      </c>
      <c r="G662" cm="1">
        <f t="array" ref="G662">SALESTABLE[[#This Row],[Quantity]]*_xlfn.XLOOKUP(SALESTABLE[[#This Row],[Product_ID]],ProductsTable[Product_ID],ProductsTable[Unit_Price],WAASIU,0,1)</f>
        <v>3656.88</v>
      </c>
      <c r="H662" cm="1">
        <f t="array" ref="H662">SALESTABLE[[#This Row],[Quantity]]*_xlfn.XLOOKUP(SALESTABLE[[#This Row],[Product_ID]],ProductsTable[Product_ID],ProductsTable[Cost_Price],WAASIU,0,1)</f>
        <v>2620.16</v>
      </c>
      <c r="I662">
        <f>SALESTABLE[[#This Row],[Revenue]]-SALESTABLE[[#This Row],[COST]]</f>
        <v>1036.7200000000003</v>
      </c>
      <c r="J662">
        <f>SALESTABLE[[#This Row],[PROFIT]]/SALESTABLE[[#This Row],[Revenue]]*100</f>
        <v>28.349850145479209</v>
      </c>
    </row>
    <row r="663" spans="1:10" x14ac:dyDescent="0.35">
      <c r="A663" t="s">
        <v>797</v>
      </c>
      <c r="B663" s="4">
        <v>45048</v>
      </c>
      <c r="C663" t="s">
        <v>92</v>
      </c>
      <c r="D663" t="s">
        <v>125</v>
      </c>
      <c r="E663">
        <v>5</v>
      </c>
      <c r="F663">
        <v>15</v>
      </c>
      <c r="G663" cm="1">
        <f t="array" ref="G663">SALESTABLE[[#This Row],[Quantity]]*_xlfn.XLOOKUP(SALESTABLE[[#This Row],[Product_ID]],ProductsTable[Product_ID],ProductsTable[Unit_Price],WAASIU,0,1)</f>
        <v>1673.5</v>
      </c>
      <c r="H663" cm="1">
        <f t="array" ref="H663">SALESTABLE[[#This Row],[Quantity]]*_xlfn.XLOOKUP(SALESTABLE[[#This Row],[Product_ID]],ProductsTable[Product_ID],ProductsTable[Cost_Price],WAASIU,0,1)</f>
        <v>1247.6000000000001</v>
      </c>
      <c r="I663">
        <f>SALESTABLE[[#This Row],[Revenue]]-SALESTABLE[[#This Row],[COST]]</f>
        <v>425.89999999999986</v>
      </c>
      <c r="J663">
        <f>SALESTABLE[[#This Row],[PROFIT]]/SALESTABLE[[#This Row],[Revenue]]*100</f>
        <v>25.449656408724223</v>
      </c>
    </row>
    <row r="664" spans="1:10" x14ac:dyDescent="0.35">
      <c r="A664" t="s">
        <v>798</v>
      </c>
      <c r="B664" s="4">
        <v>45046</v>
      </c>
      <c r="C664" t="s">
        <v>144</v>
      </c>
      <c r="D664" t="s">
        <v>13</v>
      </c>
      <c r="E664">
        <v>11</v>
      </c>
      <c r="F664">
        <v>20</v>
      </c>
      <c r="G664" cm="1">
        <f t="array" ref="G664">SALESTABLE[[#This Row],[Quantity]]*_xlfn.XLOOKUP(SALESTABLE[[#This Row],[Product_ID]],ProductsTable[Product_ID],ProductsTable[Unit_Price],WAASIU,0,1)</f>
        <v>4786.9800000000005</v>
      </c>
      <c r="H664" cm="1">
        <f t="array" ref="H664">SALESTABLE[[#This Row],[Quantity]]*_xlfn.XLOOKUP(SALESTABLE[[#This Row],[Product_ID]],ProductsTable[Product_ID],ProductsTable[Cost_Price],WAASIU,0,1)</f>
        <v>2540.4499999999998</v>
      </c>
      <c r="I664">
        <f>SALESTABLE[[#This Row],[Revenue]]-SALESTABLE[[#This Row],[COST]]</f>
        <v>2246.5300000000007</v>
      </c>
      <c r="J664">
        <f>SALESTABLE[[#This Row],[PROFIT]]/SALESTABLE[[#This Row],[Revenue]]*100</f>
        <v>46.930005974539277</v>
      </c>
    </row>
    <row r="665" spans="1:10" x14ac:dyDescent="0.35">
      <c r="A665" t="s">
        <v>799</v>
      </c>
      <c r="B665" s="4">
        <v>45229</v>
      </c>
      <c r="C665" t="s">
        <v>51</v>
      </c>
      <c r="D665" t="s">
        <v>110</v>
      </c>
      <c r="E665">
        <v>11</v>
      </c>
      <c r="F665">
        <v>10</v>
      </c>
      <c r="G665" cm="1">
        <f t="array" ref="G665">SALESTABLE[[#This Row],[Quantity]]*_xlfn.XLOOKUP(SALESTABLE[[#This Row],[Product_ID]],ProductsTable[Product_ID],ProductsTable[Unit_Price],WAASIU,0,1)</f>
        <v>5404.5199999999995</v>
      </c>
      <c r="H665" cm="1">
        <f t="array" ref="H665">SALESTABLE[[#This Row],[Quantity]]*_xlfn.XLOOKUP(SALESTABLE[[#This Row],[Product_ID]],ProductsTable[Product_ID],ProductsTable[Cost_Price],WAASIU,0,1)</f>
        <v>2949.21</v>
      </c>
      <c r="I665">
        <f>SALESTABLE[[#This Row],[Revenue]]-SALESTABLE[[#This Row],[COST]]</f>
        <v>2455.3099999999995</v>
      </c>
      <c r="J665">
        <f>SALESTABLE[[#This Row],[PROFIT]]/SALESTABLE[[#This Row],[Revenue]]*100</f>
        <v>45.430676544818041</v>
      </c>
    </row>
    <row r="666" spans="1:10" x14ac:dyDescent="0.35">
      <c r="A666" t="s">
        <v>800</v>
      </c>
      <c r="B666" s="4">
        <v>45380</v>
      </c>
      <c r="C666" t="s">
        <v>131</v>
      </c>
      <c r="D666" t="s">
        <v>74</v>
      </c>
      <c r="E666">
        <v>14</v>
      </c>
      <c r="F666">
        <v>5</v>
      </c>
      <c r="G666" cm="1">
        <f t="array" ref="G666">SALESTABLE[[#This Row],[Quantity]]*_xlfn.XLOOKUP(SALESTABLE[[#This Row],[Product_ID]],ProductsTable[Product_ID],ProductsTable[Unit_Price],WAASIU,0,1)</f>
        <v>602</v>
      </c>
      <c r="H666" cm="1">
        <f t="array" ref="H666">SALESTABLE[[#This Row],[Quantity]]*_xlfn.XLOOKUP(SALESTABLE[[#This Row],[Product_ID]],ProductsTable[Product_ID],ProductsTable[Cost_Price],WAASIU,0,1)</f>
        <v>420.7</v>
      </c>
      <c r="I666">
        <f>SALESTABLE[[#This Row],[Revenue]]-SALESTABLE[[#This Row],[COST]]</f>
        <v>181.3</v>
      </c>
      <c r="J666">
        <f>SALESTABLE[[#This Row],[PROFIT]]/SALESTABLE[[#This Row],[Revenue]]*100</f>
        <v>30.116279069767444</v>
      </c>
    </row>
    <row r="667" spans="1:10" x14ac:dyDescent="0.35">
      <c r="A667" t="s">
        <v>801</v>
      </c>
      <c r="B667" s="4">
        <v>45008</v>
      </c>
      <c r="C667" t="s">
        <v>284</v>
      </c>
      <c r="D667" t="s">
        <v>41</v>
      </c>
      <c r="E667">
        <v>11</v>
      </c>
      <c r="F667">
        <v>10</v>
      </c>
      <c r="G667" cm="1">
        <f t="array" ref="G667">SALESTABLE[[#This Row],[Quantity]]*_xlfn.XLOOKUP(SALESTABLE[[#This Row],[Product_ID]],ProductsTable[Product_ID],ProductsTable[Unit_Price],WAASIU,0,1)</f>
        <v>4683.25</v>
      </c>
      <c r="H667" cm="1">
        <f t="array" ref="H667">SALESTABLE[[#This Row],[Quantity]]*_xlfn.XLOOKUP(SALESTABLE[[#This Row],[Product_ID]],ProductsTable[Product_ID],ProductsTable[Cost_Price],WAASIU,0,1)</f>
        <v>2674.43</v>
      </c>
      <c r="I667">
        <f>SALESTABLE[[#This Row],[Revenue]]-SALESTABLE[[#This Row],[COST]]</f>
        <v>2008.8200000000002</v>
      </c>
      <c r="J667">
        <f>SALESTABLE[[#This Row],[PROFIT]]/SALESTABLE[[#This Row],[Revenue]]*100</f>
        <v>42.89371697005285</v>
      </c>
    </row>
    <row r="668" spans="1:10" x14ac:dyDescent="0.35">
      <c r="A668" t="s">
        <v>802</v>
      </c>
      <c r="B668" s="4">
        <v>45575</v>
      </c>
      <c r="C668" t="s">
        <v>154</v>
      </c>
      <c r="D668" t="s">
        <v>133</v>
      </c>
      <c r="E668">
        <v>5</v>
      </c>
      <c r="F668">
        <v>10</v>
      </c>
      <c r="G668" cm="1">
        <f t="array" ref="G668">SALESTABLE[[#This Row],[Quantity]]*_xlfn.XLOOKUP(SALESTABLE[[#This Row],[Product_ID]],ProductsTable[Product_ID],ProductsTable[Unit_Price],WAASIU,0,1)</f>
        <v>1755</v>
      </c>
      <c r="H668" cm="1">
        <f t="array" ref="H668">SALESTABLE[[#This Row],[Quantity]]*_xlfn.XLOOKUP(SALESTABLE[[#This Row],[Product_ID]],ProductsTable[Product_ID],ProductsTable[Cost_Price],WAASIU,0,1)</f>
        <v>1168.1500000000001</v>
      </c>
      <c r="I668">
        <f>SALESTABLE[[#This Row],[Revenue]]-SALESTABLE[[#This Row],[COST]]</f>
        <v>586.84999999999991</v>
      </c>
      <c r="J668">
        <f>SALESTABLE[[#This Row],[PROFIT]]/SALESTABLE[[#This Row],[Revenue]]*100</f>
        <v>33.438746438746435</v>
      </c>
    </row>
    <row r="669" spans="1:10" x14ac:dyDescent="0.35">
      <c r="A669" t="s">
        <v>803</v>
      </c>
      <c r="B669" s="4">
        <v>45583</v>
      </c>
      <c r="C669" t="s">
        <v>120</v>
      </c>
      <c r="D669" t="s">
        <v>34</v>
      </c>
      <c r="E669">
        <v>12</v>
      </c>
      <c r="F669">
        <v>0</v>
      </c>
      <c r="G669" cm="1">
        <f t="array" ref="G669">SALESTABLE[[#This Row],[Quantity]]*_xlfn.XLOOKUP(SALESTABLE[[#This Row],[Product_ID]],ProductsTable[Product_ID],ProductsTable[Unit_Price],WAASIU,0,1)</f>
        <v>3945</v>
      </c>
      <c r="H669" cm="1">
        <f t="array" ref="H669">SALESTABLE[[#This Row],[Quantity]]*_xlfn.XLOOKUP(SALESTABLE[[#This Row],[Product_ID]],ProductsTable[Product_ID],ProductsTable[Cost_Price],WAASIU,0,1)</f>
        <v>2798.16</v>
      </c>
      <c r="I669">
        <f>SALESTABLE[[#This Row],[Revenue]]-SALESTABLE[[#This Row],[COST]]</f>
        <v>1146.8400000000001</v>
      </c>
      <c r="J669">
        <f>SALESTABLE[[#This Row],[PROFIT]]/SALESTABLE[[#This Row],[Revenue]]*100</f>
        <v>29.070722433460077</v>
      </c>
    </row>
    <row r="670" spans="1:10" x14ac:dyDescent="0.35">
      <c r="A670" t="s">
        <v>804</v>
      </c>
      <c r="B670" s="4">
        <v>45509</v>
      </c>
      <c r="C670" t="s">
        <v>33</v>
      </c>
      <c r="D670" t="s">
        <v>34</v>
      </c>
      <c r="E670">
        <v>4</v>
      </c>
      <c r="F670">
        <v>0</v>
      </c>
      <c r="G670" cm="1">
        <f t="array" ref="G670">SALESTABLE[[#This Row],[Quantity]]*_xlfn.XLOOKUP(SALESTABLE[[#This Row],[Product_ID]],ProductsTable[Product_ID],ProductsTable[Unit_Price],WAASIU,0,1)</f>
        <v>1315</v>
      </c>
      <c r="H670" cm="1">
        <f t="array" ref="H670">SALESTABLE[[#This Row],[Quantity]]*_xlfn.XLOOKUP(SALESTABLE[[#This Row],[Product_ID]],ProductsTable[Product_ID],ProductsTable[Cost_Price],WAASIU,0,1)</f>
        <v>932.72</v>
      </c>
      <c r="I670">
        <f>SALESTABLE[[#This Row],[Revenue]]-SALESTABLE[[#This Row],[COST]]</f>
        <v>382.28</v>
      </c>
      <c r="J670">
        <f>SALESTABLE[[#This Row],[PROFIT]]/SALESTABLE[[#This Row],[Revenue]]*100</f>
        <v>29.070722433460073</v>
      </c>
    </row>
    <row r="671" spans="1:10" x14ac:dyDescent="0.35">
      <c r="A671" t="s">
        <v>805</v>
      </c>
      <c r="B671" s="4">
        <v>45440</v>
      </c>
      <c r="C671" t="s">
        <v>274</v>
      </c>
      <c r="D671" t="s">
        <v>125</v>
      </c>
      <c r="E671">
        <v>10</v>
      </c>
      <c r="F671">
        <v>5</v>
      </c>
      <c r="G671" cm="1">
        <f t="array" ref="G671">SALESTABLE[[#This Row],[Quantity]]*_xlfn.XLOOKUP(SALESTABLE[[#This Row],[Product_ID]],ProductsTable[Product_ID],ProductsTable[Unit_Price],WAASIU,0,1)</f>
        <v>3347</v>
      </c>
      <c r="H671" cm="1">
        <f t="array" ref="H671">SALESTABLE[[#This Row],[Quantity]]*_xlfn.XLOOKUP(SALESTABLE[[#This Row],[Product_ID]],ProductsTable[Product_ID],ProductsTable[Cost_Price],WAASIU,0,1)</f>
        <v>2495.2000000000003</v>
      </c>
      <c r="I671">
        <f>SALESTABLE[[#This Row],[Revenue]]-SALESTABLE[[#This Row],[COST]]</f>
        <v>851.79999999999973</v>
      </c>
      <c r="J671">
        <f>SALESTABLE[[#This Row],[PROFIT]]/SALESTABLE[[#This Row],[Revenue]]*100</f>
        <v>25.449656408724223</v>
      </c>
    </row>
    <row r="672" spans="1:10" x14ac:dyDescent="0.35">
      <c r="A672" t="s">
        <v>806</v>
      </c>
      <c r="B672" s="4">
        <v>45118</v>
      </c>
      <c r="C672" t="s">
        <v>116</v>
      </c>
      <c r="D672" t="s">
        <v>11</v>
      </c>
      <c r="E672">
        <v>1</v>
      </c>
      <c r="F672">
        <v>0</v>
      </c>
      <c r="G672" cm="1">
        <f t="array" ref="G672">SALESTABLE[[#This Row],[Quantity]]*_xlfn.XLOOKUP(SALESTABLE[[#This Row],[Product_ID]],ProductsTable[Product_ID],ProductsTable[Unit_Price],WAASIU,0,1)</f>
        <v>477.27</v>
      </c>
      <c r="H672" cm="1">
        <f t="array" ref="H672">SALESTABLE[[#This Row],[Quantity]]*_xlfn.XLOOKUP(SALESTABLE[[#This Row],[Product_ID]],ProductsTable[Product_ID],ProductsTable[Cost_Price],WAASIU,0,1)</f>
        <v>298.83999999999997</v>
      </c>
      <c r="I672">
        <f>SALESTABLE[[#This Row],[Revenue]]-SALESTABLE[[#This Row],[COST]]</f>
        <v>178.43</v>
      </c>
      <c r="J672">
        <f>SALESTABLE[[#This Row],[PROFIT]]/SALESTABLE[[#This Row],[Revenue]]*100</f>
        <v>37.385546965030279</v>
      </c>
    </row>
    <row r="673" spans="1:10" x14ac:dyDescent="0.35">
      <c r="A673" t="s">
        <v>807</v>
      </c>
      <c r="B673" s="4">
        <v>45446</v>
      </c>
      <c r="C673" t="s">
        <v>38</v>
      </c>
      <c r="D673" t="s">
        <v>139</v>
      </c>
      <c r="E673">
        <v>3</v>
      </c>
      <c r="F673">
        <v>20</v>
      </c>
      <c r="G673" cm="1">
        <f t="array" ref="G673">SALESTABLE[[#This Row],[Quantity]]*_xlfn.XLOOKUP(SALESTABLE[[#This Row],[Product_ID]],ProductsTable[Product_ID],ProductsTable[Unit_Price],WAASIU,0,1)</f>
        <v>1371.33</v>
      </c>
      <c r="H673" cm="1">
        <f t="array" ref="H673">SALESTABLE[[#This Row],[Quantity]]*_xlfn.XLOOKUP(SALESTABLE[[#This Row],[Product_ID]],ProductsTable[Product_ID],ProductsTable[Cost_Price],WAASIU,0,1)</f>
        <v>982.56</v>
      </c>
      <c r="I673">
        <f>SALESTABLE[[#This Row],[Revenue]]-SALESTABLE[[#This Row],[COST]]</f>
        <v>388.77</v>
      </c>
      <c r="J673">
        <f>SALESTABLE[[#This Row],[PROFIT]]/SALESTABLE[[#This Row],[Revenue]]*100</f>
        <v>28.349850145479206</v>
      </c>
    </row>
    <row r="674" spans="1:10" x14ac:dyDescent="0.35">
      <c r="A674" t="s">
        <v>808</v>
      </c>
      <c r="B674" s="4">
        <v>45135</v>
      </c>
      <c r="C674" t="s">
        <v>356</v>
      </c>
      <c r="D674" t="s">
        <v>139</v>
      </c>
      <c r="E674">
        <v>17</v>
      </c>
      <c r="F674">
        <v>15</v>
      </c>
      <c r="G674" cm="1">
        <f t="array" ref="G674">SALESTABLE[[#This Row],[Quantity]]*_xlfn.XLOOKUP(SALESTABLE[[#This Row],[Product_ID]],ProductsTable[Product_ID],ProductsTable[Unit_Price],WAASIU,0,1)</f>
        <v>7770.87</v>
      </c>
      <c r="H674" cm="1">
        <f t="array" ref="H674">SALESTABLE[[#This Row],[Quantity]]*_xlfn.XLOOKUP(SALESTABLE[[#This Row],[Product_ID]],ProductsTable[Product_ID],ProductsTable[Cost_Price],WAASIU,0,1)</f>
        <v>5567.84</v>
      </c>
      <c r="I674">
        <f>SALESTABLE[[#This Row],[Revenue]]-SALESTABLE[[#This Row],[COST]]</f>
        <v>2203.0299999999997</v>
      </c>
      <c r="J674">
        <f>SALESTABLE[[#This Row],[PROFIT]]/SALESTABLE[[#This Row],[Revenue]]*100</f>
        <v>28.349850145479206</v>
      </c>
    </row>
    <row r="675" spans="1:10" x14ac:dyDescent="0.35">
      <c r="A675" t="s">
        <v>809</v>
      </c>
      <c r="B675" s="4">
        <v>45499</v>
      </c>
      <c r="C675" t="s">
        <v>136</v>
      </c>
      <c r="D675" t="s">
        <v>127</v>
      </c>
      <c r="E675">
        <v>2</v>
      </c>
      <c r="F675">
        <v>10</v>
      </c>
      <c r="G675" cm="1">
        <f t="array" ref="G675">SALESTABLE[[#This Row],[Quantity]]*_xlfn.XLOOKUP(SALESTABLE[[#This Row],[Product_ID]],ProductsTable[Product_ID],ProductsTable[Unit_Price],WAASIU,0,1)</f>
        <v>184.14</v>
      </c>
      <c r="H675" cm="1">
        <f t="array" ref="H675">SALESTABLE[[#This Row],[Quantity]]*_xlfn.XLOOKUP(SALESTABLE[[#This Row],[Product_ID]],ProductsTable[Product_ID],ProductsTable[Cost_Price],WAASIU,0,1)</f>
        <v>112.72</v>
      </c>
      <c r="I675">
        <f>SALESTABLE[[#This Row],[Revenue]]-SALESTABLE[[#This Row],[COST]]</f>
        <v>71.419999999999987</v>
      </c>
      <c r="J675">
        <f>SALESTABLE[[#This Row],[PROFIT]]/SALESTABLE[[#This Row],[Revenue]]*100</f>
        <v>38.785706527642006</v>
      </c>
    </row>
    <row r="676" spans="1:10" x14ac:dyDescent="0.35">
      <c r="A676" t="s">
        <v>810</v>
      </c>
      <c r="B676" s="4">
        <v>45244</v>
      </c>
      <c r="C676" t="s">
        <v>247</v>
      </c>
      <c r="D676" t="s">
        <v>125</v>
      </c>
      <c r="E676">
        <v>10</v>
      </c>
      <c r="F676">
        <v>20</v>
      </c>
      <c r="G676" cm="1">
        <f t="array" ref="G676">SALESTABLE[[#This Row],[Quantity]]*_xlfn.XLOOKUP(SALESTABLE[[#This Row],[Product_ID]],ProductsTable[Product_ID],ProductsTable[Unit_Price],WAASIU,0,1)</f>
        <v>3347</v>
      </c>
      <c r="H676" cm="1">
        <f t="array" ref="H676">SALESTABLE[[#This Row],[Quantity]]*_xlfn.XLOOKUP(SALESTABLE[[#This Row],[Product_ID]],ProductsTable[Product_ID],ProductsTable[Cost_Price],WAASIU,0,1)</f>
        <v>2495.2000000000003</v>
      </c>
      <c r="I676">
        <f>SALESTABLE[[#This Row],[Revenue]]-SALESTABLE[[#This Row],[COST]]</f>
        <v>851.79999999999973</v>
      </c>
      <c r="J676">
        <f>SALESTABLE[[#This Row],[PROFIT]]/SALESTABLE[[#This Row],[Revenue]]*100</f>
        <v>25.449656408724223</v>
      </c>
    </row>
    <row r="677" spans="1:10" x14ac:dyDescent="0.35">
      <c r="A677" t="s">
        <v>811</v>
      </c>
      <c r="B677" s="4">
        <v>44960</v>
      </c>
      <c r="C677" t="s">
        <v>51</v>
      </c>
      <c r="D677" t="s">
        <v>41</v>
      </c>
      <c r="E677">
        <v>4</v>
      </c>
      <c r="F677">
        <v>15</v>
      </c>
      <c r="G677" cm="1">
        <f t="array" ref="G677">SALESTABLE[[#This Row],[Quantity]]*_xlfn.XLOOKUP(SALESTABLE[[#This Row],[Product_ID]],ProductsTable[Product_ID],ProductsTable[Unit_Price],WAASIU,0,1)</f>
        <v>1703</v>
      </c>
      <c r="H677" cm="1">
        <f t="array" ref="H677">SALESTABLE[[#This Row],[Quantity]]*_xlfn.XLOOKUP(SALESTABLE[[#This Row],[Product_ID]],ProductsTable[Product_ID],ProductsTable[Cost_Price],WAASIU,0,1)</f>
        <v>972.52</v>
      </c>
      <c r="I677">
        <f>SALESTABLE[[#This Row],[Revenue]]-SALESTABLE[[#This Row],[COST]]</f>
        <v>730.48</v>
      </c>
      <c r="J677">
        <f>SALESTABLE[[#This Row],[PROFIT]]/SALESTABLE[[#This Row],[Revenue]]*100</f>
        <v>42.89371697005285</v>
      </c>
    </row>
    <row r="678" spans="1:10" x14ac:dyDescent="0.35">
      <c r="A678" t="s">
        <v>812</v>
      </c>
      <c r="B678" s="4">
        <v>45393</v>
      </c>
      <c r="C678" t="s">
        <v>33</v>
      </c>
      <c r="D678" t="s">
        <v>248</v>
      </c>
      <c r="E678">
        <v>3</v>
      </c>
      <c r="F678">
        <v>15</v>
      </c>
      <c r="G678" cm="1">
        <f t="array" ref="G678">SALESTABLE[[#This Row],[Quantity]]*_xlfn.XLOOKUP(SALESTABLE[[#This Row],[Product_ID]],ProductsTable[Product_ID],ProductsTable[Unit_Price],WAASIU,0,1)</f>
        <v>560.13</v>
      </c>
      <c r="H678" cm="1">
        <f t="array" ref="H678">SALESTABLE[[#This Row],[Quantity]]*_xlfn.XLOOKUP(SALESTABLE[[#This Row],[Product_ID]],ProductsTable[Product_ID],ProductsTable[Cost_Price],WAASIU,0,1)</f>
        <v>375.57</v>
      </c>
      <c r="I678">
        <f>SALESTABLE[[#This Row],[Revenue]]-SALESTABLE[[#This Row],[COST]]</f>
        <v>184.56</v>
      </c>
      <c r="J678">
        <f>SALESTABLE[[#This Row],[PROFIT]]/SALESTABLE[[#This Row],[Revenue]]*100</f>
        <v>32.949493867495043</v>
      </c>
    </row>
    <row r="679" spans="1:10" x14ac:dyDescent="0.35">
      <c r="A679" t="s">
        <v>813</v>
      </c>
      <c r="B679" s="4">
        <v>45423</v>
      </c>
      <c r="C679" t="s">
        <v>392</v>
      </c>
      <c r="D679" t="s">
        <v>52</v>
      </c>
      <c r="E679">
        <v>6</v>
      </c>
      <c r="F679">
        <v>15</v>
      </c>
      <c r="G679" cm="1">
        <f t="array" ref="G679">SALESTABLE[[#This Row],[Quantity]]*_xlfn.XLOOKUP(SALESTABLE[[#This Row],[Product_ID]],ProductsTable[Product_ID],ProductsTable[Unit_Price],WAASIU,0,1)</f>
        <v>1102.68</v>
      </c>
      <c r="H679" cm="1">
        <f t="array" ref="H679">SALESTABLE[[#This Row],[Quantity]]*_xlfn.XLOOKUP(SALESTABLE[[#This Row],[Product_ID]],ProductsTable[Product_ID],ProductsTable[Cost_Price],WAASIU,0,1)</f>
        <v>693.78</v>
      </c>
      <c r="I679">
        <f>SALESTABLE[[#This Row],[Revenue]]-SALESTABLE[[#This Row],[COST]]</f>
        <v>408.90000000000009</v>
      </c>
      <c r="J679">
        <f>SALESTABLE[[#This Row],[PROFIT]]/SALESTABLE[[#This Row],[Revenue]]*100</f>
        <v>37.082381107846345</v>
      </c>
    </row>
    <row r="680" spans="1:10" x14ac:dyDescent="0.35">
      <c r="A680" t="s">
        <v>814</v>
      </c>
      <c r="B680" s="4">
        <v>45108</v>
      </c>
      <c r="C680" t="s">
        <v>88</v>
      </c>
      <c r="D680" t="s">
        <v>127</v>
      </c>
      <c r="E680">
        <v>7</v>
      </c>
      <c r="F680">
        <v>20</v>
      </c>
      <c r="G680" cm="1">
        <f t="array" ref="G680">SALESTABLE[[#This Row],[Quantity]]*_xlfn.XLOOKUP(SALESTABLE[[#This Row],[Product_ID]],ProductsTable[Product_ID],ProductsTable[Unit_Price],WAASIU,0,1)</f>
        <v>644.49</v>
      </c>
      <c r="H680" cm="1">
        <f t="array" ref="H680">SALESTABLE[[#This Row],[Quantity]]*_xlfn.XLOOKUP(SALESTABLE[[#This Row],[Product_ID]],ProductsTable[Product_ID],ProductsTable[Cost_Price],WAASIU,0,1)</f>
        <v>394.52</v>
      </c>
      <c r="I680">
        <f>SALESTABLE[[#This Row],[Revenue]]-SALESTABLE[[#This Row],[COST]]</f>
        <v>249.97000000000003</v>
      </c>
      <c r="J680">
        <f>SALESTABLE[[#This Row],[PROFIT]]/SALESTABLE[[#This Row],[Revenue]]*100</f>
        <v>38.78570652764202</v>
      </c>
    </row>
    <row r="681" spans="1:10" x14ac:dyDescent="0.35">
      <c r="A681" t="s">
        <v>815</v>
      </c>
      <c r="B681" s="4">
        <v>45360</v>
      </c>
      <c r="C681" t="s">
        <v>237</v>
      </c>
      <c r="D681" t="s">
        <v>110</v>
      </c>
      <c r="E681">
        <v>7</v>
      </c>
      <c r="F681">
        <v>5</v>
      </c>
      <c r="G681" cm="1">
        <f t="array" ref="G681">SALESTABLE[[#This Row],[Quantity]]*_xlfn.XLOOKUP(SALESTABLE[[#This Row],[Product_ID]],ProductsTable[Product_ID],ProductsTable[Unit_Price],WAASIU,0,1)</f>
        <v>3439.24</v>
      </c>
      <c r="H681" cm="1">
        <f t="array" ref="H681">SALESTABLE[[#This Row],[Quantity]]*_xlfn.XLOOKUP(SALESTABLE[[#This Row],[Product_ID]],ProductsTable[Product_ID],ProductsTable[Cost_Price],WAASIU,0,1)</f>
        <v>1876.77</v>
      </c>
      <c r="I681">
        <f>SALESTABLE[[#This Row],[Revenue]]-SALESTABLE[[#This Row],[COST]]</f>
        <v>1562.4699999999998</v>
      </c>
      <c r="J681">
        <f>SALESTABLE[[#This Row],[PROFIT]]/SALESTABLE[[#This Row],[Revenue]]*100</f>
        <v>45.430676544818041</v>
      </c>
    </row>
    <row r="682" spans="1:10" x14ac:dyDescent="0.35">
      <c r="A682" t="s">
        <v>816</v>
      </c>
      <c r="B682" s="4">
        <v>45220</v>
      </c>
      <c r="C682" t="s">
        <v>69</v>
      </c>
      <c r="D682" t="s">
        <v>13</v>
      </c>
      <c r="E682">
        <v>7</v>
      </c>
      <c r="F682">
        <v>0</v>
      </c>
      <c r="G682" cm="1">
        <f t="array" ref="G682">SALESTABLE[[#This Row],[Quantity]]*_xlfn.XLOOKUP(SALESTABLE[[#This Row],[Product_ID]],ProductsTable[Product_ID],ProductsTable[Unit_Price],WAASIU,0,1)</f>
        <v>3046.26</v>
      </c>
      <c r="H682" cm="1">
        <f t="array" ref="H682">SALESTABLE[[#This Row],[Quantity]]*_xlfn.XLOOKUP(SALESTABLE[[#This Row],[Product_ID]],ProductsTable[Product_ID],ProductsTable[Cost_Price],WAASIU,0,1)</f>
        <v>1616.6499999999999</v>
      </c>
      <c r="I682">
        <f>SALESTABLE[[#This Row],[Revenue]]-SALESTABLE[[#This Row],[COST]]</f>
        <v>1429.6100000000004</v>
      </c>
      <c r="J682">
        <f>SALESTABLE[[#This Row],[PROFIT]]/SALESTABLE[[#This Row],[Revenue]]*100</f>
        <v>46.930005974539277</v>
      </c>
    </row>
    <row r="683" spans="1:10" x14ac:dyDescent="0.35">
      <c r="A683" t="s">
        <v>817</v>
      </c>
      <c r="B683" s="4">
        <v>44949</v>
      </c>
      <c r="C683" t="s">
        <v>79</v>
      </c>
      <c r="D683" t="s">
        <v>127</v>
      </c>
      <c r="E683">
        <v>5</v>
      </c>
      <c r="F683">
        <v>0</v>
      </c>
      <c r="G683" cm="1">
        <f t="array" ref="G683">SALESTABLE[[#This Row],[Quantity]]*_xlfn.XLOOKUP(SALESTABLE[[#This Row],[Product_ID]],ProductsTable[Product_ID],ProductsTable[Unit_Price],WAASIU,0,1)</f>
        <v>460.34999999999997</v>
      </c>
      <c r="H683" cm="1">
        <f t="array" ref="H683">SALESTABLE[[#This Row],[Quantity]]*_xlfn.XLOOKUP(SALESTABLE[[#This Row],[Product_ID]],ProductsTable[Product_ID],ProductsTable[Cost_Price],WAASIU,0,1)</f>
        <v>281.8</v>
      </c>
      <c r="I683">
        <f>SALESTABLE[[#This Row],[Revenue]]-SALESTABLE[[#This Row],[COST]]</f>
        <v>178.54999999999995</v>
      </c>
      <c r="J683">
        <f>SALESTABLE[[#This Row],[PROFIT]]/SALESTABLE[[#This Row],[Revenue]]*100</f>
        <v>38.785706527642006</v>
      </c>
    </row>
    <row r="684" spans="1:10" x14ac:dyDescent="0.35">
      <c r="A684" t="s">
        <v>818</v>
      </c>
      <c r="B684" s="4">
        <v>45459</v>
      </c>
      <c r="C684" t="s">
        <v>237</v>
      </c>
      <c r="D684" t="s">
        <v>13</v>
      </c>
      <c r="E684">
        <v>3</v>
      </c>
      <c r="F684">
        <v>20</v>
      </c>
      <c r="G684" cm="1">
        <f t="array" ref="G684">SALESTABLE[[#This Row],[Quantity]]*_xlfn.XLOOKUP(SALESTABLE[[#This Row],[Product_ID]],ProductsTable[Product_ID],ProductsTable[Unit_Price],WAASIU,0,1)</f>
        <v>1305.54</v>
      </c>
      <c r="H684" cm="1">
        <f t="array" ref="H684">SALESTABLE[[#This Row],[Quantity]]*_xlfn.XLOOKUP(SALESTABLE[[#This Row],[Product_ID]],ProductsTable[Product_ID],ProductsTable[Cost_Price],WAASIU,0,1)</f>
        <v>692.84999999999991</v>
      </c>
      <c r="I684">
        <f>SALESTABLE[[#This Row],[Revenue]]-SALESTABLE[[#This Row],[COST]]</f>
        <v>612.69000000000005</v>
      </c>
      <c r="J684">
        <f>SALESTABLE[[#This Row],[PROFIT]]/SALESTABLE[[#This Row],[Revenue]]*100</f>
        <v>46.930005974539277</v>
      </c>
    </row>
    <row r="685" spans="1:10" x14ac:dyDescent="0.35">
      <c r="A685" t="s">
        <v>819</v>
      </c>
      <c r="B685" s="4">
        <v>45565</v>
      </c>
      <c r="C685" t="s">
        <v>575</v>
      </c>
      <c r="D685" t="s">
        <v>31</v>
      </c>
      <c r="E685">
        <v>13</v>
      </c>
      <c r="F685">
        <v>0</v>
      </c>
      <c r="G685" cm="1">
        <f t="array" ref="G685">SALESTABLE[[#This Row],[Quantity]]*_xlfn.XLOOKUP(SALESTABLE[[#This Row],[Product_ID]],ProductsTable[Product_ID],ProductsTable[Unit_Price],WAASIU,0,1)</f>
        <v>2250.8199999999997</v>
      </c>
      <c r="H685" cm="1">
        <f t="array" ref="H685">SALESTABLE[[#This Row],[Quantity]]*_xlfn.XLOOKUP(SALESTABLE[[#This Row],[Product_ID]],ProductsTable[Product_ID],ProductsTable[Cost_Price],WAASIU,0,1)</f>
        <v>1303.77</v>
      </c>
      <c r="I685">
        <f>SALESTABLE[[#This Row],[Revenue]]-SALESTABLE[[#This Row],[COST]]</f>
        <v>947.04999999999973</v>
      </c>
      <c r="J685">
        <f>SALESTABLE[[#This Row],[PROFIT]]/SALESTABLE[[#This Row],[Revenue]]*100</f>
        <v>42.075776828000457</v>
      </c>
    </row>
    <row r="686" spans="1:10" x14ac:dyDescent="0.35">
      <c r="A686" t="s">
        <v>820</v>
      </c>
      <c r="B686" s="4">
        <v>45527</v>
      </c>
      <c r="C686" t="s">
        <v>38</v>
      </c>
      <c r="D686" t="s">
        <v>110</v>
      </c>
      <c r="E686">
        <v>4</v>
      </c>
      <c r="F686">
        <v>0</v>
      </c>
      <c r="G686" cm="1">
        <f t="array" ref="G686">SALESTABLE[[#This Row],[Quantity]]*_xlfn.XLOOKUP(SALESTABLE[[#This Row],[Product_ID]],ProductsTable[Product_ID],ProductsTable[Unit_Price],WAASIU,0,1)</f>
        <v>1965.28</v>
      </c>
      <c r="H686" cm="1">
        <f t="array" ref="H686">SALESTABLE[[#This Row],[Quantity]]*_xlfn.XLOOKUP(SALESTABLE[[#This Row],[Product_ID]],ProductsTable[Product_ID],ProductsTable[Cost_Price],WAASIU,0,1)</f>
        <v>1072.44</v>
      </c>
      <c r="I686">
        <f>SALESTABLE[[#This Row],[Revenue]]-SALESTABLE[[#This Row],[COST]]</f>
        <v>892.83999999999992</v>
      </c>
      <c r="J686">
        <f>SALESTABLE[[#This Row],[PROFIT]]/SALESTABLE[[#This Row],[Revenue]]*100</f>
        <v>45.430676544818041</v>
      </c>
    </row>
    <row r="687" spans="1:10" x14ac:dyDescent="0.35">
      <c r="A687" t="s">
        <v>821</v>
      </c>
      <c r="B687" s="4">
        <v>45542</v>
      </c>
      <c r="C687" t="s">
        <v>46</v>
      </c>
      <c r="D687" t="s">
        <v>13</v>
      </c>
      <c r="E687">
        <v>11</v>
      </c>
      <c r="F687">
        <v>15</v>
      </c>
      <c r="G687" cm="1">
        <f t="array" ref="G687">SALESTABLE[[#This Row],[Quantity]]*_xlfn.XLOOKUP(SALESTABLE[[#This Row],[Product_ID]],ProductsTable[Product_ID],ProductsTable[Unit_Price],WAASIU,0,1)</f>
        <v>4786.9800000000005</v>
      </c>
      <c r="H687" cm="1">
        <f t="array" ref="H687">SALESTABLE[[#This Row],[Quantity]]*_xlfn.XLOOKUP(SALESTABLE[[#This Row],[Product_ID]],ProductsTable[Product_ID],ProductsTable[Cost_Price],WAASIU,0,1)</f>
        <v>2540.4499999999998</v>
      </c>
      <c r="I687">
        <f>SALESTABLE[[#This Row],[Revenue]]-SALESTABLE[[#This Row],[COST]]</f>
        <v>2246.5300000000007</v>
      </c>
      <c r="J687">
        <f>SALESTABLE[[#This Row],[PROFIT]]/SALESTABLE[[#This Row],[Revenue]]*100</f>
        <v>46.930005974539277</v>
      </c>
    </row>
    <row r="688" spans="1:10" x14ac:dyDescent="0.35">
      <c r="A688" t="s">
        <v>822</v>
      </c>
      <c r="B688" s="4">
        <v>44979</v>
      </c>
      <c r="C688" t="s">
        <v>311</v>
      </c>
      <c r="D688" t="s">
        <v>8</v>
      </c>
      <c r="E688">
        <v>19</v>
      </c>
      <c r="F688">
        <v>20</v>
      </c>
      <c r="G688" cm="1">
        <f t="array" ref="G688">SALESTABLE[[#This Row],[Quantity]]*_xlfn.XLOOKUP(SALESTABLE[[#This Row],[Product_ID]],ProductsTable[Product_ID],ProductsTable[Unit_Price],WAASIU,0,1)</f>
        <v>6390.08</v>
      </c>
      <c r="H688" cm="1">
        <f t="array" ref="H688">SALESTABLE[[#This Row],[Quantity]]*_xlfn.XLOOKUP(SALESTABLE[[#This Row],[Product_ID]],ProductsTable[Product_ID],ProductsTable[Cost_Price],WAASIU,0,1)</f>
        <v>4327.82</v>
      </c>
      <c r="I688">
        <f>SALESTABLE[[#This Row],[Revenue]]-SALESTABLE[[#This Row],[COST]]</f>
        <v>2062.2600000000002</v>
      </c>
      <c r="J688">
        <f>SALESTABLE[[#This Row],[PROFIT]]/SALESTABLE[[#This Row],[Revenue]]*100</f>
        <v>32.272835394862035</v>
      </c>
    </row>
    <row r="689" spans="1:10" x14ac:dyDescent="0.35">
      <c r="A689" t="s">
        <v>823</v>
      </c>
      <c r="B689" s="4">
        <v>44953</v>
      </c>
      <c r="C689" t="s">
        <v>67</v>
      </c>
      <c r="D689" t="s">
        <v>31</v>
      </c>
      <c r="E689">
        <v>5</v>
      </c>
      <c r="F689">
        <v>20</v>
      </c>
      <c r="G689" cm="1">
        <f t="array" ref="G689">SALESTABLE[[#This Row],[Quantity]]*_xlfn.XLOOKUP(SALESTABLE[[#This Row],[Product_ID]],ProductsTable[Product_ID],ProductsTable[Unit_Price],WAASIU,0,1)</f>
        <v>865.69999999999993</v>
      </c>
      <c r="H689" cm="1">
        <f t="array" ref="H689">SALESTABLE[[#This Row],[Quantity]]*_xlfn.XLOOKUP(SALESTABLE[[#This Row],[Product_ID]],ProductsTable[Product_ID],ProductsTable[Cost_Price],WAASIU,0,1)</f>
        <v>501.45000000000005</v>
      </c>
      <c r="I689">
        <f>SALESTABLE[[#This Row],[Revenue]]-SALESTABLE[[#This Row],[COST]]</f>
        <v>364.24999999999989</v>
      </c>
      <c r="J689">
        <f>SALESTABLE[[#This Row],[PROFIT]]/SALESTABLE[[#This Row],[Revenue]]*100</f>
        <v>42.07577682800045</v>
      </c>
    </row>
    <row r="690" spans="1:10" x14ac:dyDescent="0.35">
      <c r="A690" t="s">
        <v>824</v>
      </c>
      <c r="B690" s="4">
        <v>45110</v>
      </c>
      <c r="C690" t="s">
        <v>348</v>
      </c>
      <c r="D690" t="s">
        <v>139</v>
      </c>
      <c r="E690">
        <v>12</v>
      </c>
      <c r="F690">
        <v>10</v>
      </c>
      <c r="G690" cm="1">
        <f t="array" ref="G690">SALESTABLE[[#This Row],[Quantity]]*_xlfn.XLOOKUP(SALESTABLE[[#This Row],[Product_ID]],ProductsTable[Product_ID],ProductsTable[Unit_Price],WAASIU,0,1)</f>
        <v>5485.32</v>
      </c>
      <c r="H690" cm="1">
        <f t="array" ref="H690">SALESTABLE[[#This Row],[Quantity]]*_xlfn.XLOOKUP(SALESTABLE[[#This Row],[Product_ID]],ProductsTable[Product_ID],ProductsTable[Cost_Price],WAASIU,0,1)</f>
        <v>3930.24</v>
      </c>
      <c r="I690">
        <f>SALESTABLE[[#This Row],[Revenue]]-SALESTABLE[[#This Row],[COST]]</f>
        <v>1555.08</v>
      </c>
      <c r="J690">
        <f>SALESTABLE[[#This Row],[PROFIT]]/SALESTABLE[[#This Row],[Revenue]]*100</f>
        <v>28.349850145479206</v>
      </c>
    </row>
    <row r="691" spans="1:10" x14ac:dyDescent="0.35">
      <c r="A691" t="s">
        <v>825</v>
      </c>
      <c r="B691" s="4">
        <v>45606</v>
      </c>
      <c r="C691" t="s">
        <v>177</v>
      </c>
      <c r="D691" t="s">
        <v>49</v>
      </c>
      <c r="E691">
        <v>5</v>
      </c>
      <c r="F691">
        <v>20</v>
      </c>
      <c r="G691" cm="1">
        <f t="array" ref="G691">SALESTABLE[[#This Row],[Quantity]]*_xlfn.XLOOKUP(SALESTABLE[[#This Row],[Product_ID]],ProductsTable[Product_ID],ProductsTable[Unit_Price],WAASIU,0,1)</f>
        <v>1148.1500000000001</v>
      </c>
      <c r="H691" cm="1">
        <f t="array" ref="H691">SALESTABLE[[#This Row],[Quantity]]*_xlfn.XLOOKUP(SALESTABLE[[#This Row],[Product_ID]],ProductsTable[Product_ID],ProductsTable[Cost_Price],WAASIU,0,1)</f>
        <v>657.09999999999991</v>
      </c>
      <c r="I691">
        <f>SALESTABLE[[#This Row],[Revenue]]-SALESTABLE[[#This Row],[COST]]</f>
        <v>491.05000000000018</v>
      </c>
      <c r="J691">
        <f>SALESTABLE[[#This Row],[PROFIT]]/SALESTABLE[[#This Row],[Revenue]]*100</f>
        <v>42.768801985803265</v>
      </c>
    </row>
    <row r="692" spans="1:10" x14ac:dyDescent="0.35">
      <c r="A692" t="s">
        <v>826</v>
      </c>
      <c r="B692" s="4">
        <v>45336</v>
      </c>
      <c r="C692" t="s">
        <v>602</v>
      </c>
      <c r="D692" t="s">
        <v>28</v>
      </c>
      <c r="E692">
        <v>4</v>
      </c>
      <c r="F692">
        <v>0</v>
      </c>
      <c r="G692" cm="1">
        <f t="array" ref="G692">SALESTABLE[[#This Row],[Quantity]]*_xlfn.XLOOKUP(SALESTABLE[[#This Row],[Product_ID]],ProductsTable[Product_ID],ProductsTable[Unit_Price],WAASIU,0,1)</f>
        <v>1701.92</v>
      </c>
      <c r="H692" cm="1">
        <f t="array" ref="H692">SALESTABLE[[#This Row],[Quantity]]*_xlfn.XLOOKUP(SALESTABLE[[#This Row],[Product_ID]],ProductsTable[Product_ID],ProductsTable[Cost_Price],WAASIU,0,1)</f>
        <v>933.92</v>
      </c>
      <c r="I692">
        <f>SALESTABLE[[#This Row],[Revenue]]-SALESTABLE[[#This Row],[COST]]</f>
        <v>768.00000000000011</v>
      </c>
      <c r="J692">
        <f>SALESTABLE[[#This Row],[PROFIT]]/SALESTABLE[[#This Row],[Revenue]]*100</f>
        <v>45.12550531164802</v>
      </c>
    </row>
    <row r="693" spans="1:10" x14ac:dyDescent="0.35">
      <c r="A693" t="s">
        <v>827</v>
      </c>
      <c r="B693" s="4">
        <v>45324</v>
      </c>
      <c r="C693" t="s">
        <v>167</v>
      </c>
      <c r="D693" t="s">
        <v>49</v>
      </c>
      <c r="E693">
        <v>1</v>
      </c>
      <c r="F693">
        <v>10</v>
      </c>
      <c r="G693" cm="1">
        <f t="array" ref="G693">SALESTABLE[[#This Row],[Quantity]]*_xlfn.XLOOKUP(SALESTABLE[[#This Row],[Product_ID]],ProductsTable[Product_ID],ProductsTable[Unit_Price],WAASIU,0,1)</f>
        <v>229.63</v>
      </c>
      <c r="H693" cm="1">
        <f t="array" ref="H693">SALESTABLE[[#This Row],[Quantity]]*_xlfn.XLOOKUP(SALESTABLE[[#This Row],[Product_ID]],ProductsTable[Product_ID],ProductsTable[Cost_Price],WAASIU,0,1)</f>
        <v>131.41999999999999</v>
      </c>
      <c r="I693">
        <f>SALESTABLE[[#This Row],[Revenue]]-SALESTABLE[[#This Row],[COST]]</f>
        <v>98.210000000000008</v>
      </c>
      <c r="J693">
        <f>SALESTABLE[[#This Row],[PROFIT]]/SALESTABLE[[#This Row],[Revenue]]*100</f>
        <v>42.76880198580325</v>
      </c>
    </row>
    <row r="694" spans="1:10" x14ac:dyDescent="0.35">
      <c r="A694" t="s">
        <v>828</v>
      </c>
      <c r="B694" s="4">
        <v>45319</v>
      </c>
      <c r="C694" t="s">
        <v>27</v>
      </c>
      <c r="D694" t="s">
        <v>139</v>
      </c>
      <c r="E694">
        <v>16</v>
      </c>
      <c r="F694">
        <v>5</v>
      </c>
      <c r="G694" cm="1">
        <f t="array" ref="G694">SALESTABLE[[#This Row],[Quantity]]*_xlfn.XLOOKUP(SALESTABLE[[#This Row],[Product_ID]],ProductsTable[Product_ID],ProductsTable[Unit_Price],WAASIU,0,1)</f>
        <v>7313.76</v>
      </c>
      <c r="H694" cm="1">
        <f t="array" ref="H694">SALESTABLE[[#This Row],[Quantity]]*_xlfn.XLOOKUP(SALESTABLE[[#This Row],[Product_ID]],ProductsTable[Product_ID],ProductsTable[Cost_Price],WAASIU,0,1)</f>
        <v>5240.32</v>
      </c>
      <c r="I694">
        <f>SALESTABLE[[#This Row],[Revenue]]-SALESTABLE[[#This Row],[COST]]</f>
        <v>2073.4400000000005</v>
      </c>
      <c r="J694">
        <f>SALESTABLE[[#This Row],[PROFIT]]/SALESTABLE[[#This Row],[Revenue]]*100</f>
        <v>28.349850145479209</v>
      </c>
    </row>
    <row r="695" spans="1:10" x14ac:dyDescent="0.35">
      <c r="A695" t="s">
        <v>829</v>
      </c>
      <c r="B695" s="4">
        <v>45628</v>
      </c>
      <c r="C695" t="s">
        <v>289</v>
      </c>
      <c r="D695" t="s">
        <v>19</v>
      </c>
      <c r="E695">
        <v>19</v>
      </c>
      <c r="F695">
        <v>0</v>
      </c>
      <c r="G695" cm="1">
        <f t="array" ref="G695">SALESTABLE[[#This Row],[Quantity]]*_xlfn.XLOOKUP(SALESTABLE[[#This Row],[Product_ID]],ProductsTable[Product_ID],ProductsTable[Unit_Price],WAASIU,0,1)</f>
        <v>1154.44</v>
      </c>
      <c r="H695" cm="1">
        <f t="array" ref="H695">SALESTABLE[[#This Row],[Quantity]]*_xlfn.XLOOKUP(SALESTABLE[[#This Row],[Product_ID]],ProductsTable[Product_ID],ProductsTable[Cost_Price],WAASIU,0,1)</f>
        <v>768.55000000000007</v>
      </c>
      <c r="I695">
        <f>SALESTABLE[[#This Row],[Revenue]]-SALESTABLE[[#This Row],[COST]]</f>
        <v>385.89</v>
      </c>
      <c r="J695">
        <f>SALESTABLE[[#This Row],[PROFIT]]/SALESTABLE[[#This Row],[Revenue]]*100</f>
        <v>33.426596445029624</v>
      </c>
    </row>
    <row r="696" spans="1:10" x14ac:dyDescent="0.35">
      <c r="A696" t="s">
        <v>830</v>
      </c>
      <c r="B696" s="4">
        <v>45540</v>
      </c>
      <c r="C696" t="s">
        <v>40</v>
      </c>
      <c r="D696" t="s">
        <v>107</v>
      </c>
      <c r="E696">
        <v>9</v>
      </c>
      <c r="F696">
        <v>5</v>
      </c>
      <c r="G696" cm="1">
        <f t="array" ref="G696">SALESTABLE[[#This Row],[Quantity]]*_xlfn.XLOOKUP(SALESTABLE[[#This Row],[Product_ID]],ProductsTable[Product_ID],ProductsTable[Unit_Price],WAASIU,0,1)</f>
        <v>585.09</v>
      </c>
      <c r="H696" cm="1">
        <f t="array" ref="H696">SALESTABLE[[#This Row],[Quantity]]*_xlfn.XLOOKUP(SALESTABLE[[#This Row],[Product_ID]],ProductsTable[Product_ID],ProductsTable[Cost_Price],WAASIU,0,1)</f>
        <v>331.46999999999997</v>
      </c>
      <c r="I696">
        <f>SALESTABLE[[#This Row],[Revenue]]-SALESTABLE[[#This Row],[COST]]</f>
        <v>253.62000000000006</v>
      </c>
      <c r="J696">
        <f>SALESTABLE[[#This Row],[PROFIT]]/SALESTABLE[[#This Row],[Revenue]]*100</f>
        <v>43.347177357329649</v>
      </c>
    </row>
    <row r="697" spans="1:10" x14ac:dyDescent="0.35">
      <c r="A697" t="s">
        <v>831</v>
      </c>
      <c r="B697" s="4">
        <v>45185</v>
      </c>
      <c r="C697" t="s">
        <v>265</v>
      </c>
      <c r="D697" t="s">
        <v>11</v>
      </c>
      <c r="E697">
        <v>12</v>
      </c>
      <c r="F697">
        <v>0</v>
      </c>
      <c r="G697" cm="1">
        <f t="array" ref="G697">SALESTABLE[[#This Row],[Quantity]]*_xlfn.XLOOKUP(SALESTABLE[[#This Row],[Product_ID]],ProductsTable[Product_ID],ProductsTable[Unit_Price],WAASIU,0,1)</f>
        <v>5727.24</v>
      </c>
      <c r="H697" cm="1">
        <f t="array" ref="H697">SALESTABLE[[#This Row],[Quantity]]*_xlfn.XLOOKUP(SALESTABLE[[#This Row],[Product_ID]],ProductsTable[Product_ID],ProductsTable[Cost_Price],WAASIU,0,1)</f>
        <v>3586.08</v>
      </c>
      <c r="I697">
        <f>SALESTABLE[[#This Row],[Revenue]]-SALESTABLE[[#This Row],[COST]]</f>
        <v>2141.16</v>
      </c>
      <c r="J697">
        <f>SALESTABLE[[#This Row],[PROFIT]]/SALESTABLE[[#This Row],[Revenue]]*100</f>
        <v>37.385546965030272</v>
      </c>
    </row>
    <row r="698" spans="1:10" x14ac:dyDescent="0.35">
      <c r="A698" t="s">
        <v>832</v>
      </c>
      <c r="B698" s="4">
        <v>45350</v>
      </c>
      <c r="C698" t="s">
        <v>73</v>
      </c>
      <c r="D698" t="s">
        <v>139</v>
      </c>
      <c r="E698">
        <v>4</v>
      </c>
      <c r="F698">
        <v>15</v>
      </c>
      <c r="G698" cm="1">
        <f t="array" ref="G698">SALESTABLE[[#This Row],[Quantity]]*_xlfn.XLOOKUP(SALESTABLE[[#This Row],[Product_ID]],ProductsTable[Product_ID],ProductsTable[Unit_Price],WAASIU,0,1)</f>
        <v>1828.44</v>
      </c>
      <c r="H698" cm="1">
        <f t="array" ref="H698">SALESTABLE[[#This Row],[Quantity]]*_xlfn.XLOOKUP(SALESTABLE[[#This Row],[Product_ID]],ProductsTable[Product_ID],ProductsTable[Cost_Price],WAASIU,0,1)</f>
        <v>1310.08</v>
      </c>
      <c r="I698">
        <f>SALESTABLE[[#This Row],[Revenue]]-SALESTABLE[[#This Row],[COST]]</f>
        <v>518.36000000000013</v>
      </c>
      <c r="J698">
        <f>SALESTABLE[[#This Row],[PROFIT]]/SALESTABLE[[#This Row],[Revenue]]*100</f>
        <v>28.349850145479209</v>
      </c>
    </row>
    <row r="699" spans="1:10" x14ac:dyDescent="0.35">
      <c r="A699" t="s">
        <v>833</v>
      </c>
      <c r="B699" s="4">
        <v>45482</v>
      </c>
      <c r="C699" t="s">
        <v>270</v>
      </c>
      <c r="D699" t="s">
        <v>74</v>
      </c>
      <c r="E699">
        <v>18</v>
      </c>
      <c r="F699">
        <v>5</v>
      </c>
      <c r="G699" cm="1">
        <f t="array" ref="G699">SALESTABLE[[#This Row],[Quantity]]*_xlfn.XLOOKUP(SALESTABLE[[#This Row],[Product_ID]],ProductsTable[Product_ID],ProductsTable[Unit_Price],WAASIU,0,1)</f>
        <v>774</v>
      </c>
      <c r="H699" cm="1">
        <f t="array" ref="H699">SALESTABLE[[#This Row],[Quantity]]*_xlfn.XLOOKUP(SALESTABLE[[#This Row],[Product_ID]],ProductsTable[Product_ID],ProductsTable[Cost_Price],WAASIU,0,1)</f>
        <v>540.9</v>
      </c>
      <c r="I699">
        <f>SALESTABLE[[#This Row],[Revenue]]-SALESTABLE[[#This Row],[COST]]</f>
        <v>233.10000000000002</v>
      </c>
      <c r="J699">
        <f>SALESTABLE[[#This Row],[PROFIT]]/SALESTABLE[[#This Row],[Revenue]]*100</f>
        <v>30.116279069767444</v>
      </c>
    </row>
    <row r="700" spans="1:10" x14ac:dyDescent="0.35">
      <c r="A700" t="s">
        <v>834</v>
      </c>
      <c r="B700" s="4">
        <v>45623</v>
      </c>
      <c r="C700" t="s">
        <v>79</v>
      </c>
      <c r="D700" t="s">
        <v>139</v>
      </c>
      <c r="E700">
        <v>14</v>
      </c>
      <c r="F700">
        <v>10</v>
      </c>
      <c r="G700" cm="1">
        <f t="array" ref="G700">SALESTABLE[[#This Row],[Quantity]]*_xlfn.XLOOKUP(SALESTABLE[[#This Row],[Product_ID]],ProductsTable[Product_ID],ProductsTable[Unit_Price],WAASIU,0,1)</f>
        <v>6399.54</v>
      </c>
      <c r="H700" cm="1">
        <f t="array" ref="H700">SALESTABLE[[#This Row],[Quantity]]*_xlfn.XLOOKUP(SALESTABLE[[#This Row],[Product_ID]],ProductsTable[Product_ID],ProductsTable[Cost_Price],WAASIU,0,1)</f>
        <v>4585.28</v>
      </c>
      <c r="I700">
        <f>SALESTABLE[[#This Row],[Revenue]]-SALESTABLE[[#This Row],[COST]]</f>
        <v>1814.2600000000002</v>
      </c>
      <c r="J700">
        <f>SALESTABLE[[#This Row],[PROFIT]]/SALESTABLE[[#This Row],[Revenue]]*100</f>
        <v>28.349850145479209</v>
      </c>
    </row>
    <row r="701" spans="1:10" x14ac:dyDescent="0.35">
      <c r="A701" t="s">
        <v>835</v>
      </c>
      <c r="B701" s="4">
        <v>45490</v>
      </c>
      <c r="C701" t="s">
        <v>36</v>
      </c>
      <c r="D701" t="s">
        <v>137</v>
      </c>
      <c r="E701">
        <v>2</v>
      </c>
      <c r="F701">
        <v>10</v>
      </c>
      <c r="G701" cm="1">
        <f t="array" ref="G701">SALESTABLE[[#This Row],[Quantity]]*_xlfn.XLOOKUP(SALESTABLE[[#This Row],[Product_ID]],ProductsTable[Product_ID],ProductsTable[Unit_Price],WAASIU,0,1)</f>
        <v>726.88</v>
      </c>
      <c r="H701" cm="1">
        <f t="array" ref="H701">SALESTABLE[[#This Row],[Quantity]]*_xlfn.XLOOKUP(SALESTABLE[[#This Row],[Product_ID]],ProductsTable[Product_ID],ProductsTable[Cost_Price],WAASIU,0,1)</f>
        <v>500.1</v>
      </c>
      <c r="I701">
        <f>SALESTABLE[[#This Row],[Revenue]]-SALESTABLE[[#This Row],[COST]]</f>
        <v>226.77999999999997</v>
      </c>
      <c r="J701">
        <f>SALESTABLE[[#This Row],[PROFIT]]/SALESTABLE[[#This Row],[Revenue]]*100</f>
        <v>31.199097512656831</v>
      </c>
    </row>
    <row r="702" spans="1:10" x14ac:dyDescent="0.35">
      <c r="A702" t="s">
        <v>836</v>
      </c>
      <c r="B702" s="4">
        <v>45336</v>
      </c>
      <c r="C702" t="s">
        <v>86</v>
      </c>
      <c r="D702" t="s">
        <v>13</v>
      </c>
      <c r="E702">
        <v>17</v>
      </c>
      <c r="F702">
        <v>0</v>
      </c>
      <c r="G702" cm="1">
        <f t="array" ref="G702">SALESTABLE[[#This Row],[Quantity]]*_xlfn.XLOOKUP(SALESTABLE[[#This Row],[Product_ID]],ProductsTable[Product_ID],ProductsTable[Unit_Price],WAASIU,0,1)</f>
        <v>7398.06</v>
      </c>
      <c r="H702" cm="1">
        <f t="array" ref="H702">SALESTABLE[[#This Row],[Quantity]]*_xlfn.XLOOKUP(SALESTABLE[[#This Row],[Product_ID]],ProductsTable[Product_ID],ProductsTable[Cost_Price],WAASIU,0,1)</f>
        <v>3926.1499999999996</v>
      </c>
      <c r="I702">
        <f>SALESTABLE[[#This Row],[Revenue]]-SALESTABLE[[#This Row],[COST]]</f>
        <v>3471.9100000000008</v>
      </c>
      <c r="J702">
        <f>SALESTABLE[[#This Row],[PROFIT]]/SALESTABLE[[#This Row],[Revenue]]*100</f>
        <v>46.930005974539277</v>
      </c>
    </row>
    <row r="703" spans="1:10" x14ac:dyDescent="0.35">
      <c r="A703" t="s">
        <v>837</v>
      </c>
      <c r="B703" s="4">
        <v>45583</v>
      </c>
      <c r="C703" t="s">
        <v>292</v>
      </c>
      <c r="D703" t="s">
        <v>13</v>
      </c>
      <c r="E703">
        <v>2</v>
      </c>
      <c r="F703">
        <v>10</v>
      </c>
      <c r="G703" cm="1">
        <f t="array" ref="G703">SALESTABLE[[#This Row],[Quantity]]*_xlfn.XLOOKUP(SALESTABLE[[#This Row],[Product_ID]],ProductsTable[Product_ID],ProductsTable[Unit_Price],WAASIU,0,1)</f>
        <v>870.36</v>
      </c>
      <c r="H703" cm="1">
        <f t="array" ref="H703">SALESTABLE[[#This Row],[Quantity]]*_xlfn.XLOOKUP(SALESTABLE[[#This Row],[Product_ID]],ProductsTable[Product_ID],ProductsTable[Cost_Price],WAASIU,0,1)</f>
        <v>461.9</v>
      </c>
      <c r="I703">
        <f>SALESTABLE[[#This Row],[Revenue]]-SALESTABLE[[#This Row],[COST]]</f>
        <v>408.46000000000004</v>
      </c>
      <c r="J703">
        <f>SALESTABLE[[#This Row],[PROFIT]]/SALESTABLE[[#This Row],[Revenue]]*100</f>
        <v>46.930005974539277</v>
      </c>
    </row>
    <row r="704" spans="1:10" x14ac:dyDescent="0.35">
      <c r="A704" t="s">
        <v>838</v>
      </c>
      <c r="B704" s="4">
        <v>45524</v>
      </c>
      <c r="C704" t="s">
        <v>106</v>
      </c>
      <c r="D704" t="s">
        <v>11</v>
      </c>
      <c r="E704">
        <v>9</v>
      </c>
      <c r="F704">
        <v>10</v>
      </c>
      <c r="G704" cm="1">
        <f t="array" ref="G704">SALESTABLE[[#This Row],[Quantity]]*_xlfn.XLOOKUP(SALESTABLE[[#This Row],[Product_ID]],ProductsTable[Product_ID],ProductsTable[Unit_Price],WAASIU,0,1)</f>
        <v>4295.43</v>
      </c>
      <c r="H704" cm="1">
        <f t="array" ref="H704">SALESTABLE[[#This Row],[Quantity]]*_xlfn.XLOOKUP(SALESTABLE[[#This Row],[Product_ID]],ProductsTable[Product_ID],ProductsTable[Cost_Price],WAASIU,0,1)</f>
        <v>2689.56</v>
      </c>
      <c r="I704">
        <f>SALESTABLE[[#This Row],[Revenue]]-SALESTABLE[[#This Row],[COST]]</f>
        <v>1605.8700000000003</v>
      </c>
      <c r="J704">
        <f>SALESTABLE[[#This Row],[PROFIT]]/SALESTABLE[[#This Row],[Revenue]]*100</f>
        <v>37.385546965030279</v>
      </c>
    </row>
    <row r="705" spans="1:10" x14ac:dyDescent="0.35">
      <c r="A705" t="s">
        <v>839</v>
      </c>
      <c r="B705" s="4">
        <v>45558</v>
      </c>
      <c r="C705" t="s">
        <v>112</v>
      </c>
      <c r="D705" t="s">
        <v>125</v>
      </c>
      <c r="E705">
        <v>12</v>
      </c>
      <c r="F705">
        <v>15</v>
      </c>
      <c r="G705" cm="1">
        <f t="array" ref="G705">SALESTABLE[[#This Row],[Quantity]]*_xlfn.XLOOKUP(SALESTABLE[[#This Row],[Product_ID]],ProductsTable[Product_ID],ProductsTable[Unit_Price],WAASIU,0,1)</f>
        <v>4016.3999999999996</v>
      </c>
      <c r="H705" cm="1">
        <f t="array" ref="H705">SALESTABLE[[#This Row],[Quantity]]*_xlfn.XLOOKUP(SALESTABLE[[#This Row],[Product_ID]],ProductsTable[Product_ID],ProductsTable[Cost_Price],WAASIU,0,1)</f>
        <v>2994.2400000000002</v>
      </c>
      <c r="I705">
        <f>SALESTABLE[[#This Row],[Revenue]]-SALESTABLE[[#This Row],[COST]]</f>
        <v>1022.1599999999994</v>
      </c>
      <c r="J705">
        <f>SALESTABLE[[#This Row],[PROFIT]]/SALESTABLE[[#This Row],[Revenue]]*100</f>
        <v>25.44965640872422</v>
      </c>
    </row>
    <row r="706" spans="1:10" x14ac:dyDescent="0.35">
      <c r="A706" t="s">
        <v>840</v>
      </c>
      <c r="B706" s="4">
        <v>45200</v>
      </c>
      <c r="C706" t="s">
        <v>306</v>
      </c>
      <c r="D706" t="s">
        <v>41</v>
      </c>
      <c r="E706">
        <v>5</v>
      </c>
      <c r="F706">
        <v>5</v>
      </c>
      <c r="G706" cm="1">
        <f t="array" ref="G706">SALESTABLE[[#This Row],[Quantity]]*_xlfn.XLOOKUP(SALESTABLE[[#This Row],[Product_ID]],ProductsTable[Product_ID],ProductsTable[Unit_Price],WAASIU,0,1)</f>
        <v>2128.75</v>
      </c>
      <c r="H706" cm="1">
        <f t="array" ref="H706">SALESTABLE[[#This Row],[Quantity]]*_xlfn.XLOOKUP(SALESTABLE[[#This Row],[Product_ID]],ProductsTable[Product_ID],ProductsTable[Cost_Price],WAASIU,0,1)</f>
        <v>1215.6500000000001</v>
      </c>
      <c r="I706">
        <f>SALESTABLE[[#This Row],[Revenue]]-SALESTABLE[[#This Row],[COST]]</f>
        <v>913.09999999999991</v>
      </c>
      <c r="J706">
        <f>SALESTABLE[[#This Row],[PROFIT]]/SALESTABLE[[#This Row],[Revenue]]*100</f>
        <v>42.893716970052843</v>
      </c>
    </row>
    <row r="707" spans="1:10" x14ac:dyDescent="0.35">
      <c r="A707" t="s">
        <v>841</v>
      </c>
      <c r="B707" s="4">
        <v>45096</v>
      </c>
      <c r="C707" t="s">
        <v>245</v>
      </c>
      <c r="D707" t="s">
        <v>41</v>
      </c>
      <c r="E707">
        <v>18</v>
      </c>
      <c r="F707">
        <v>10</v>
      </c>
      <c r="G707" cm="1">
        <f t="array" ref="G707">SALESTABLE[[#This Row],[Quantity]]*_xlfn.XLOOKUP(SALESTABLE[[#This Row],[Product_ID]],ProductsTable[Product_ID],ProductsTable[Unit_Price],WAASIU,0,1)</f>
        <v>7663.5</v>
      </c>
      <c r="H707" cm="1">
        <f t="array" ref="H707">SALESTABLE[[#This Row],[Quantity]]*_xlfn.XLOOKUP(SALESTABLE[[#This Row],[Product_ID]],ProductsTable[Product_ID],ProductsTable[Cost_Price],WAASIU,0,1)</f>
        <v>4376.34</v>
      </c>
      <c r="I707">
        <f>SALESTABLE[[#This Row],[Revenue]]-SALESTABLE[[#This Row],[COST]]</f>
        <v>3287.16</v>
      </c>
      <c r="J707">
        <f>SALESTABLE[[#This Row],[PROFIT]]/SALESTABLE[[#This Row],[Revenue]]*100</f>
        <v>42.89371697005285</v>
      </c>
    </row>
    <row r="708" spans="1:10" x14ac:dyDescent="0.35">
      <c r="A708" t="s">
        <v>842</v>
      </c>
      <c r="B708" s="4">
        <v>45351</v>
      </c>
      <c r="C708" t="s">
        <v>38</v>
      </c>
      <c r="D708" t="s">
        <v>84</v>
      </c>
      <c r="E708">
        <v>3</v>
      </c>
      <c r="F708">
        <v>5</v>
      </c>
      <c r="G708" cm="1">
        <f t="array" ref="G708">SALESTABLE[[#This Row],[Quantity]]*_xlfn.XLOOKUP(SALESTABLE[[#This Row],[Product_ID]],ProductsTable[Product_ID],ProductsTable[Unit_Price],WAASIU,0,1)</f>
        <v>806.69999999999993</v>
      </c>
      <c r="H708" cm="1">
        <f t="array" ref="H708">SALESTABLE[[#This Row],[Quantity]]*_xlfn.XLOOKUP(SALESTABLE[[#This Row],[Product_ID]],ProductsTable[Product_ID],ProductsTable[Cost_Price],WAASIU,0,1)</f>
        <v>467.58000000000004</v>
      </c>
      <c r="I708">
        <f>SALESTABLE[[#This Row],[Revenue]]-SALESTABLE[[#This Row],[COST]]</f>
        <v>339.11999999999989</v>
      </c>
      <c r="J708">
        <f>SALESTABLE[[#This Row],[PROFIT]]/SALESTABLE[[#This Row],[Revenue]]*100</f>
        <v>42.037932316846401</v>
      </c>
    </row>
    <row r="709" spans="1:10" x14ac:dyDescent="0.35">
      <c r="A709" t="s">
        <v>843</v>
      </c>
      <c r="B709" s="4">
        <v>45602</v>
      </c>
      <c r="C709" t="s">
        <v>169</v>
      </c>
      <c r="D709" t="s">
        <v>127</v>
      </c>
      <c r="E709">
        <v>7</v>
      </c>
      <c r="F709">
        <v>0</v>
      </c>
      <c r="G709" cm="1">
        <f t="array" ref="G709">SALESTABLE[[#This Row],[Quantity]]*_xlfn.XLOOKUP(SALESTABLE[[#This Row],[Product_ID]],ProductsTable[Product_ID],ProductsTable[Unit_Price],WAASIU,0,1)</f>
        <v>644.49</v>
      </c>
      <c r="H709" cm="1">
        <f t="array" ref="H709">SALESTABLE[[#This Row],[Quantity]]*_xlfn.XLOOKUP(SALESTABLE[[#This Row],[Product_ID]],ProductsTable[Product_ID],ProductsTable[Cost_Price],WAASIU,0,1)</f>
        <v>394.52</v>
      </c>
      <c r="I709">
        <f>SALESTABLE[[#This Row],[Revenue]]-SALESTABLE[[#This Row],[COST]]</f>
        <v>249.97000000000003</v>
      </c>
      <c r="J709">
        <f>SALESTABLE[[#This Row],[PROFIT]]/SALESTABLE[[#This Row],[Revenue]]*100</f>
        <v>38.78570652764202</v>
      </c>
    </row>
    <row r="710" spans="1:10" x14ac:dyDescent="0.35">
      <c r="A710" t="s">
        <v>844</v>
      </c>
      <c r="B710" s="4">
        <v>45270</v>
      </c>
      <c r="C710" t="s">
        <v>209</v>
      </c>
      <c r="D710" t="s">
        <v>25</v>
      </c>
      <c r="E710">
        <v>15</v>
      </c>
      <c r="F710">
        <v>0</v>
      </c>
      <c r="G710" cm="1">
        <f t="array" ref="G710">SALESTABLE[[#This Row],[Quantity]]*_xlfn.XLOOKUP(SALESTABLE[[#This Row],[Product_ID]],ProductsTable[Product_ID],ProductsTable[Unit_Price],WAASIU,0,1)</f>
        <v>2666.3999999999996</v>
      </c>
      <c r="H710" cm="1">
        <f t="array" ref="H710">SALESTABLE[[#This Row],[Quantity]]*_xlfn.XLOOKUP(SALESTABLE[[#This Row],[Product_ID]],ProductsTable[Product_ID],ProductsTable[Cost_Price],WAASIU,0,1)</f>
        <v>1378.1999999999998</v>
      </c>
      <c r="I710">
        <f>SALESTABLE[[#This Row],[Revenue]]-SALESTABLE[[#This Row],[COST]]</f>
        <v>1288.1999999999998</v>
      </c>
      <c r="J710">
        <f>SALESTABLE[[#This Row],[PROFIT]]/SALESTABLE[[#This Row],[Revenue]]*100</f>
        <v>48.312331233123309</v>
      </c>
    </row>
    <row r="711" spans="1:10" x14ac:dyDescent="0.35">
      <c r="A711" t="s">
        <v>845</v>
      </c>
      <c r="B711" s="4">
        <v>45026</v>
      </c>
      <c r="C711" t="s">
        <v>156</v>
      </c>
      <c r="D711" t="s">
        <v>8</v>
      </c>
      <c r="E711">
        <v>7</v>
      </c>
      <c r="F711">
        <v>20</v>
      </c>
      <c r="G711" cm="1">
        <f t="array" ref="G711">SALESTABLE[[#This Row],[Quantity]]*_xlfn.XLOOKUP(SALESTABLE[[#This Row],[Product_ID]],ProductsTable[Product_ID],ProductsTable[Unit_Price],WAASIU,0,1)</f>
        <v>2354.2399999999998</v>
      </c>
      <c r="H711" cm="1">
        <f t="array" ref="H711">SALESTABLE[[#This Row],[Quantity]]*_xlfn.XLOOKUP(SALESTABLE[[#This Row],[Product_ID]],ProductsTable[Product_ID],ProductsTable[Cost_Price],WAASIU,0,1)</f>
        <v>1594.46</v>
      </c>
      <c r="I711">
        <f>SALESTABLE[[#This Row],[Revenue]]-SALESTABLE[[#This Row],[COST]]</f>
        <v>759.77999999999975</v>
      </c>
      <c r="J711">
        <f>SALESTABLE[[#This Row],[PROFIT]]/SALESTABLE[[#This Row],[Revenue]]*100</f>
        <v>32.272835394862028</v>
      </c>
    </row>
    <row r="712" spans="1:10" x14ac:dyDescent="0.35">
      <c r="A712" t="s">
        <v>846</v>
      </c>
      <c r="B712" s="4">
        <v>45552</v>
      </c>
      <c r="C712" t="s">
        <v>51</v>
      </c>
      <c r="D712" t="s">
        <v>52</v>
      </c>
      <c r="E712">
        <v>5</v>
      </c>
      <c r="F712">
        <v>20</v>
      </c>
      <c r="G712" cm="1">
        <f t="array" ref="G712">SALESTABLE[[#This Row],[Quantity]]*_xlfn.XLOOKUP(SALESTABLE[[#This Row],[Product_ID]],ProductsTable[Product_ID],ProductsTable[Unit_Price],WAASIU,0,1)</f>
        <v>918.9</v>
      </c>
      <c r="H712" cm="1">
        <f t="array" ref="H712">SALESTABLE[[#This Row],[Quantity]]*_xlfn.XLOOKUP(SALESTABLE[[#This Row],[Product_ID]],ProductsTable[Product_ID],ProductsTable[Cost_Price],WAASIU,0,1)</f>
        <v>578.15</v>
      </c>
      <c r="I712">
        <f>SALESTABLE[[#This Row],[Revenue]]-SALESTABLE[[#This Row],[COST]]</f>
        <v>340.75</v>
      </c>
      <c r="J712">
        <f>SALESTABLE[[#This Row],[PROFIT]]/SALESTABLE[[#This Row],[Revenue]]*100</f>
        <v>37.082381107846338</v>
      </c>
    </row>
    <row r="713" spans="1:10" x14ac:dyDescent="0.35">
      <c r="A713" t="s">
        <v>847</v>
      </c>
      <c r="B713" s="4">
        <v>45104</v>
      </c>
      <c r="C713" t="s">
        <v>116</v>
      </c>
      <c r="D713" t="s">
        <v>110</v>
      </c>
      <c r="E713">
        <v>19</v>
      </c>
      <c r="F713">
        <v>15</v>
      </c>
      <c r="G713" cm="1">
        <f t="array" ref="G713">SALESTABLE[[#This Row],[Quantity]]*_xlfn.XLOOKUP(SALESTABLE[[#This Row],[Product_ID]],ProductsTable[Product_ID],ProductsTable[Unit_Price],WAASIU,0,1)</f>
        <v>9335.08</v>
      </c>
      <c r="H713" cm="1">
        <f t="array" ref="H713">SALESTABLE[[#This Row],[Quantity]]*_xlfn.XLOOKUP(SALESTABLE[[#This Row],[Product_ID]],ProductsTable[Product_ID],ProductsTable[Cost_Price],WAASIU,0,1)</f>
        <v>5094.09</v>
      </c>
      <c r="I713">
        <f>SALESTABLE[[#This Row],[Revenue]]-SALESTABLE[[#This Row],[COST]]</f>
        <v>4240.99</v>
      </c>
      <c r="J713">
        <f>SALESTABLE[[#This Row],[PROFIT]]/SALESTABLE[[#This Row],[Revenue]]*100</f>
        <v>45.430676544818041</v>
      </c>
    </row>
    <row r="714" spans="1:10" x14ac:dyDescent="0.35">
      <c r="A714" t="s">
        <v>848</v>
      </c>
      <c r="B714" s="4">
        <v>45307</v>
      </c>
      <c r="C714" t="s">
        <v>348</v>
      </c>
      <c r="D714" t="s">
        <v>57</v>
      </c>
      <c r="E714">
        <v>13</v>
      </c>
      <c r="F714">
        <v>10</v>
      </c>
      <c r="G714" cm="1">
        <f t="array" ref="G714">SALESTABLE[[#This Row],[Quantity]]*_xlfn.XLOOKUP(SALESTABLE[[#This Row],[Product_ID]],ProductsTable[Product_ID],ProductsTable[Unit_Price],WAASIU,0,1)</f>
        <v>2064.79</v>
      </c>
      <c r="H714" cm="1">
        <f t="array" ref="H714">SALESTABLE[[#This Row],[Quantity]]*_xlfn.XLOOKUP(SALESTABLE[[#This Row],[Product_ID]],ProductsTable[Product_ID],ProductsTable[Cost_Price],WAASIU,0,1)</f>
        <v>1650.22</v>
      </c>
      <c r="I714">
        <f>SALESTABLE[[#This Row],[Revenue]]-SALESTABLE[[#This Row],[COST]]</f>
        <v>414.56999999999994</v>
      </c>
      <c r="J714">
        <f>SALESTABLE[[#This Row],[PROFIT]]/SALESTABLE[[#This Row],[Revenue]]*100</f>
        <v>20.078070893408043</v>
      </c>
    </row>
    <row r="715" spans="1:10" x14ac:dyDescent="0.35">
      <c r="A715" t="s">
        <v>849</v>
      </c>
      <c r="B715" s="4">
        <v>45159</v>
      </c>
      <c r="C715" t="s">
        <v>247</v>
      </c>
      <c r="D715" t="s">
        <v>19</v>
      </c>
      <c r="E715">
        <v>11</v>
      </c>
      <c r="F715">
        <v>10</v>
      </c>
      <c r="G715" cm="1">
        <f t="array" ref="G715">SALESTABLE[[#This Row],[Quantity]]*_xlfn.XLOOKUP(SALESTABLE[[#This Row],[Product_ID]],ProductsTable[Product_ID],ProductsTable[Unit_Price],WAASIU,0,1)</f>
        <v>668.36</v>
      </c>
      <c r="H715" cm="1">
        <f t="array" ref="H715">SALESTABLE[[#This Row],[Quantity]]*_xlfn.XLOOKUP(SALESTABLE[[#This Row],[Product_ID]],ProductsTable[Product_ID],ProductsTable[Cost_Price],WAASIU,0,1)</f>
        <v>444.95000000000005</v>
      </c>
      <c r="I715">
        <f>SALESTABLE[[#This Row],[Revenue]]-SALESTABLE[[#This Row],[COST]]</f>
        <v>223.40999999999997</v>
      </c>
      <c r="J715">
        <f>SALESTABLE[[#This Row],[PROFIT]]/SALESTABLE[[#This Row],[Revenue]]*100</f>
        <v>33.426596445029624</v>
      </c>
    </row>
    <row r="716" spans="1:10" x14ac:dyDescent="0.35">
      <c r="A716" t="s">
        <v>850</v>
      </c>
      <c r="B716" s="4">
        <v>45532</v>
      </c>
      <c r="C716" t="s">
        <v>76</v>
      </c>
      <c r="D716" t="s">
        <v>41</v>
      </c>
      <c r="E716">
        <v>11</v>
      </c>
      <c r="F716">
        <v>0</v>
      </c>
      <c r="G716" cm="1">
        <f t="array" ref="G716">SALESTABLE[[#This Row],[Quantity]]*_xlfn.XLOOKUP(SALESTABLE[[#This Row],[Product_ID]],ProductsTable[Product_ID],ProductsTable[Unit_Price],WAASIU,0,1)</f>
        <v>4683.25</v>
      </c>
      <c r="H716" cm="1">
        <f t="array" ref="H716">SALESTABLE[[#This Row],[Quantity]]*_xlfn.XLOOKUP(SALESTABLE[[#This Row],[Product_ID]],ProductsTable[Product_ID],ProductsTable[Cost_Price],WAASIU,0,1)</f>
        <v>2674.43</v>
      </c>
      <c r="I716">
        <f>SALESTABLE[[#This Row],[Revenue]]-SALESTABLE[[#This Row],[COST]]</f>
        <v>2008.8200000000002</v>
      </c>
      <c r="J716">
        <f>SALESTABLE[[#This Row],[PROFIT]]/SALESTABLE[[#This Row],[Revenue]]*100</f>
        <v>42.89371697005285</v>
      </c>
    </row>
    <row r="717" spans="1:10" x14ac:dyDescent="0.35">
      <c r="A717" t="s">
        <v>851</v>
      </c>
      <c r="B717" s="4">
        <v>45634</v>
      </c>
      <c r="C717" t="s">
        <v>245</v>
      </c>
      <c r="D717" t="s">
        <v>57</v>
      </c>
      <c r="E717">
        <v>5</v>
      </c>
      <c r="F717">
        <v>20</v>
      </c>
      <c r="G717" cm="1">
        <f t="array" ref="G717">SALESTABLE[[#This Row],[Quantity]]*_xlfn.XLOOKUP(SALESTABLE[[#This Row],[Product_ID]],ProductsTable[Product_ID],ProductsTable[Unit_Price],WAASIU,0,1)</f>
        <v>794.15000000000009</v>
      </c>
      <c r="H717" cm="1">
        <f t="array" ref="H717">SALESTABLE[[#This Row],[Quantity]]*_xlfn.XLOOKUP(SALESTABLE[[#This Row],[Product_ID]],ProductsTable[Product_ID],ProductsTable[Cost_Price],WAASIU,0,1)</f>
        <v>634.70000000000005</v>
      </c>
      <c r="I717">
        <f>SALESTABLE[[#This Row],[Revenue]]-SALESTABLE[[#This Row],[COST]]</f>
        <v>159.45000000000005</v>
      </c>
      <c r="J717">
        <f>SALESTABLE[[#This Row],[PROFIT]]/SALESTABLE[[#This Row],[Revenue]]*100</f>
        <v>20.07807089340805</v>
      </c>
    </row>
    <row r="718" spans="1:10" x14ac:dyDescent="0.35">
      <c r="A718" t="s">
        <v>852</v>
      </c>
      <c r="B718" s="4">
        <v>45499</v>
      </c>
      <c r="C718" t="s">
        <v>90</v>
      </c>
      <c r="D718" t="s">
        <v>97</v>
      </c>
      <c r="E718">
        <v>10</v>
      </c>
      <c r="F718">
        <v>15</v>
      </c>
      <c r="G718" cm="1">
        <f t="array" ref="G718">SALESTABLE[[#This Row],[Quantity]]*_xlfn.XLOOKUP(SALESTABLE[[#This Row],[Product_ID]],ProductsTable[Product_ID],ProductsTable[Unit_Price],WAASIU,0,1)</f>
        <v>3102.1</v>
      </c>
      <c r="H718" cm="1">
        <f t="array" ref="H718">SALESTABLE[[#This Row],[Quantity]]*_xlfn.XLOOKUP(SALESTABLE[[#This Row],[Product_ID]],ProductsTable[Product_ID],ProductsTable[Cost_Price],WAASIU,0,1)</f>
        <v>2252.9</v>
      </c>
      <c r="I718">
        <f>SALESTABLE[[#This Row],[Revenue]]-SALESTABLE[[#This Row],[COST]]</f>
        <v>849.19999999999982</v>
      </c>
      <c r="J718">
        <f>SALESTABLE[[#This Row],[PROFIT]]/SALESTABLE[[#This Row],[Revenue]]*100</f>
        <v>27.375004029528377</v>
      </c>
    </row>
    <row r="719" spans="1:10" x14ac:dyDescent="0.35">
      <c r="A719" t="s">
        <v>853</v>
      </c>
      <c r="B719" s="4">
        <v>45234</v>
      </c>
      <c r="C719" t="s">
        <v>174</v>
      </c>
      <c r="D719" t="s">
        <v>11</v>
      </c>
      <c r="E719">
        <v>12</v>
      </c>
      <c r="F719">
        <v>15</v>
      </c>
      <c r="G719" cm="1">
        <f t="array" ref="G719">SALESTABLE[[#This Row],[Quantity]]*_xlfn.XLOOKUP(SALESTABLE[[#This Row],[Product_ID]],ProductsTable[Product_ID],ProductsTable[Unit_Price],WAASIU,0,1)</f>
        <v>5727.24</v>
      </c>
      <c r="H719" cm="1">
        <f t="array" ref="H719">SALESTABLE[[#This Row],[Quantity]]*_xlfn.XLOOKUP(SALESTABLE[[#This Row],[Product_ID]],ProductsTable[Product_ID],ProductsTable[Cost_Price],WAASIU,0,1)</f>
        <v>3586.08</v>
      </c>
      <c r="I719">
        <f>SALESTABLE[[#This Row],[Revenue]]-SALESTABLE[[#This Row],[COST]]</f>
        <v>2141.16</v>
      </c>
      <c r="J719">
        <f>SALESTABLE[[#This Row],[PROFIT]]/SALESTABLE[[#This Row],[Revenue]]*100</f>
        <v>37.385546965030272</v>
      </c>
    </row>
    <row r="720" spans="1:10" x14ac:dyDescent="0.35">
      <c r="A720" t="s">
        <v>854</v>
      </c>
      <c r="B720" s="4">
        <v>45609</v>
      </c>
      <c r="C720" t="s">
        <v>167</v>
      </c>
      <c r="D720" t="s">
        <v>11</v>
      </c>
      <c r="E720">
        <v>17</v>
      </c>
      <c r="F720">
        <v>5</v>
      </c>
      <c r="G720" cm="1">
        <f t="array" ref="G720">SALESTABLE[[#This Row],[Quantity]]*_xlfn.XLOOKUP(SALESTABLE[[#This Row],[Product_ID]],ProductsTable[Product_ID],ProductsTable[Unit_Price],WAASIU,0,1)</f>
        <v>8113.59</v>
      </c>
      <c r="H720" cm="1">
        <f t="array" ref="H720">SALESTABLE[[#This Row],[Quantity]]*_xlfn.XLOOKUP(SALESTABLE[[#This Row],[Product_ID]],ProductsTable[Product_ID],ProductsTable[Cost_Price],WAASIU,0,1)</f>
        <v>5080.28</v>
      </c>
      <c r="I720">
        <f>SALESTABLE[[#This Row],[Revenue]]-SALESTABLE[[#This Row],[COST]]</f>
        <v>3033.3100000000004</v>
      </c>
      <c r="J720">
        <f>SALESTABLE[[#This Row],[PROFIT]]/SALESTABLE[[#This Row],[Revenue]]*100</f>
        <v>37.385546965030279</v>
      </c>
    </row>
    <row r="721" spans="1:10" x14ac:dyDescent="0.35">
      <c r="A721" t="s">
        <v>855</v>
      </c>
      <c r="B721" s="4">
        <v>45328</v>
      </c>
      <c r="C721" t="s">
        <v>27</v>
      </c>
      <c r="D721" t="s">
        <v>139</v>
      </c>
      <c r="E721">
        <v>17</v>
      </c>
      <c r="F721">
        <v>5</v>
      </c>
      <c r="G721" cm="1">
        <f t="array" ref="G721">SALESTABLE[[#This Row],[Quantity]]*_xlfn.XLOOKUP(SALESTABLE[[#This Row],[Product_ID]],ProductsTable[Product_ID],ProductsTable[Unit_Price],WAASIU,0,1)</f>
        <v>7770.87</v>
      </c>
      <c r="H721" cm="1">
        <f t="array" ref="H721">SALESTABLE[[#This Row],[Quantity]]*_xlfn.XLOOKUP(SALESTABLE[[#This Row],[Product_ID]],ProductsTable[Product_ID],ProductsTable[Cost_Price],WAASIU,0,1)</f>
        <v>5567.84</v>
      </c>
      <c r="I721">
        <f>SALESTABLE[[#This Row],[Revenue]]-SALESTABLE[[#This Row],[COST]]</f>
        <v>2203.0299999999997</v>
      </c>
      <c r="J721">
        <f>SALESTABLE[[#This Row],[PROFIT]]/SALESTABLE[[#This Row],[Revenue]]*100</f>
        <v>28.349850145479206</v>
      </c>
    </row>
    <row r="722" spans="1:10" x14ac:dyDescent="0.35">
      <c r="A722" t="s">
        <v>856</v>
      </c>
      <c r="B722" s="4">
        <v>45533</v>
      </c>
      <c r="C722" t="s">
        <v>575</v>
      </c>
      <c r="D722" t="s">
        <v>93</v>
      </c>
      <c r="E722">
        <v>2</v>
      </c>
      <c r="F722">
        <v>10</v>
      </c>
      <c r="G722" cm="1">
        <f t="array" ref="G722">SALESTABLE[[#This Row],[Quantity]]*_xlfn.XLOOKUP(SALESTABLE[[#This Row],[Product_ID]],ProductsTable[Product_ID],ProductsTable[Unit_Price],WAASIU,0,1)</f>
        <v>428.06</v>
      </c>
      <c r="H722" cm="1">
        <f t="array" ref="H722">SALESTABLE[[#This Row],[Quantity]]*_xlfn.XLOOKUP(SALESTABLE[[#This Row],[Product_ID]],ProductsTable[Product_ID],ProductsTable[Cost_Price],WAASIU,0,1)</f>
        <v>313.42</v>
      </c>
      <c r="I722">
        <f>SALESTABLE[[#This Row],[Revenue]]-SALESTABLE[[#This Row],[COST]]</f>
        <v>114.63999999999999</v>
      </c>
      <c r="J722">
        <f>SALESTABLE[[#This Row],[PROFIT]]/SALESTABLE[[#This Row],[Revenue]]*100</f>
        <v>26.781292342195016</v>
      </c>
    </row>
    <row r="723" spans="1:10" x14ac:dyDescent="0.35">
      <c r="A723" t="s">
        <v>857</v>
      </c>
      <c r="B723" s="4">
        <v>45430</v>
      </c>
      <c r="C723" t="s">
        <v>106</v>
      </c>
      <c r="D723" t="s">
        <v>93</v>
      </c>
      <c r="E723">
        <v>11</v>
      </c>
      <c r="F723">
        <v>15</v>
      </c>
      <c r="G723" cm="1">
        <f t="array" ref="G723">SALESTABLE[[#This Row],[Quantity]]*_xlfn.XLOOKUP(SALESTABLE[[#This Row],[Product_ID]],ProductsTable[Product_ID],ProductsTable[Unit_Price],WAASIU,0,1)</f>
        <v>2354.33</v>
      </c>
      <c r="H723" cm="1">
        <f t="array" ref="H723">SALESTABLE[[#This Row],[Quantity]]*_xlfn.XLOOKUP(SALESTABLE[[#This Row],[Product_ID]],ProductsTable[Product_ID],ProductsTable[Cost_Price],WAASIU,0,1)</f>
        <v>1723.8100000000002</v>
      </c>
      <c r="I723">
        <f>SALESTABLE[[#This Row],[Revenue]]-SALESTABLE[[#This Row],[COST]]</f>
        <v>630.51999999999975</v>
      </c>
      <c r="J723">
        <f>SALESTABLE[[#This Row],[PROFIT]]/SALESTABLE[[#This Row],[Revenue]]*100</f>
        <v>26.781292342195012</v>
      </c>
    </row>
    <row r="724" spans="1:10" x14ac:dyDescent="0.35">
      <c r="A724" t="s">
        <v>858</v>
      </c>
      <c r="B724" s="4">
        <v>45437</v>
      </c>
      <c r="C724" t="s">
        <v>247</v>
      </c>
      <c r="D724" t="s">
        <v>100</v>
      </c>
      <c r="E724">
        <v>11</v>
      </c>
      <c r="F724">
        <v>0</v>
      </c>
      <c r="G724" cm="1">
        <f t="array" ref="G724">SALESTABLE[[#This Row],[Quantity]]*_xlfn.XLOOKUP(SALESTABLE[[#This Row],[Product_ID]],ProductsTable[Product_ID],ProductsTable[Unit_Price],WAASIU,0,1)</f>
        <v>4502.5199999999995</v>
      </c>
      <c r="H724" cm="1">
        <f t="array" ref="H724">SALESTABLE[[#This Row],[Quantity]]*_xlfn.XLOOKUP(SALESTABLE[[#This Row],[Product_ID]],ProductsTable[Product_ID],ProductsTable[Cost_Price],WAASIU,0,1)</f>
        <v>2339.15</v>
      </c>
      <c r="I724">
        <f>SALESTABLE[[#This Row],[Revenue]]-SALESTABLE[[#This Row],[COST]]</f>
        <v>2163.3699999999994</v>
      </c>
      <c r="J724">
        <f>SALESTABLE[[#This Row],[PROFIT]]/SALESTABLE[[#This Row],[Revenue]]*100</f>
        <v>48.047982018958265</v>
      </c>
    </row>
    <row r="725" spans="1:10" x14ac:dyDescent="0.35">
      <c r="A725" t="s">
        <v>859</v>
      </c>
      <c r="B725" s="4">
        <v>45376</v>
      </c>
      <c r="C725" t="s">
        <v>257</v>
      </c>
      <c r="D725" t="s">
        <v>84</v>
      </c>
      <c r="E725">
        <v>3</v>
      </c>
      <c r="F725">
        <v>5</v>
      </c>
      <c r="G725" cm="1">
        <f t="array" ref="G725">SALESTABLE[[#This Row],[Quantity]]*_xlfn.XLOOKUP(SALESTABLE[[#This Row],[Product_ID]],ProductsTable[Product_ID],ProductsTable[Unit_Price],WAASIU,0,1)</f>
        <v>806.69999999999993</v>
      </c>
      <c r="H725" cm="1">
        <f t="array" ref="H725">SALESTABLE[[#This Row],[Quantity]]*_xlfn.XLOOKUP(SALESTABLE[[#This Row],[Product_ID]],ProductsTable[Product_ID],ProductsTable[Cost_Price],WAASIU,0,1)</f>
        <v>467.58000000000004</v>
      </c>
      <c r="I725">
        <f>SALESTABLE[[#This Row],[Revenue]]-SALESTABLE[[#This Row],[COST]]</f>
        <v>339.11999999999989</v>
      </c>
      <c r="J725">
        <f>SALESTABLE[[#This Row],[PROFIT]]/SALESTABLE[[#This Row],[Revenue]]*100</f>
        <v>42.037932316846401</v>
      </c>
    </row>
    <row r="726" spans="1:10" x14ac:dyDescent="0.35">
      <c r="A726" t="s">
        <v>860</v>
      </c>
      <c r="B726" s="4">
        <v>45108</v>
      </c>
      <c r="C726" t="s">
        <v>81</v>
      </c>
      <c r="D726" t="s">
        <v>16</v>
      </c>
      <c r="E726">
        <v>15</v>
      </c>
      <c r="F726">
        <v>0</v>
      </c>
      <c r="G726" cm="1">
        <f t="array" ref="G726">SALESTABLE[[#This Row],[Quantity]]*_xlfn.XLOOKUP(SALESTABLE[[#This Row],[Product_ID]],ProductsTable[Product_ID],ProductsTable[Unit_Price],WAASIU,0,1)</f>
        <v>5432.55</v>
      </c>
      <c r="H726" cm="1">
        <f t="array" ref="H726">SALESTABLE[[#This Row],[Quantity]]*_xlfn.XLOOKUP(SALESTABLE[[#This Row],[Product_ID]],ProductsTable[Product_ID],ProductsTable[Cost_Price],WAASIU,0,1)</f>
        <v>3500.7</v>
      </c>
      <c r="I726">
        <f>SALESTABLE[[#This Row],[Revenue]]-SALESTABLE[[#This Row],[COST]]</f>
        <v>1931.8500000000004</v>
      </c>
      <c r="J726">
        <f>SALESTABLE[[#This Row],[PROFIT]]/SALESTABLE[[#This Row],[Revenue]]*100</f>
        <v>35.56064831432753</v>
      </c>
    </row>
    <row r="727" spans="1:10" x14ac:dyDescent="0.35">
      <c r="A727" t="s">
        <v>861</v>
      </c>
      <c r="B727" s="4">
        <v>44987</v>
      </c>
      <c r="C727" t="s">
        <v>209</v>
      </c>
      <c r="D727" t="s">
        <v>19</v>
      </c>
      <c r="E727">
        <v>4</v>
      </c>
      <c r="F727">
        <v>20</v>
      </c>
      <c r="G727" cm="1">
        <f t="array" ref="G727">SALESTABLE[[#This Row],[Quantity]]*_xlfn.XLOOKUP(SALESTABLE[[#This Row],[Product_ID]],ProductsTable[Product_ID],ProductsTable[Unit_Price],WAASIU,0,1)</f>
        <v>243.04</v>
      </c>
      <c r="H727" cm="1">
        <f t="array" ref="H727">SALESTABLE[[#This Row],[Quantity]]*_xlfn.XLOOKUP(SALESTABLE[[#This Row],[Product_ID]],ProductsTable[Product_ID],ProductsTable[Cost_Price],WAASIU,0,1)</f>
        <v>161.80000000000001</v>
      </c>
      <c r="I727">
        <f>SALESTABLE[[#This Row],[Revenue]]-SALESTABLE[[#This Row],[COST]]</f>
        <v>81.239999999999981</v>
      </c>
      <c r="J727">
        <f>SALESTABLE[[#This Row],[PROFIT]]/SALESTABLE[[#This Row],[Revenue]]*100</f>
        <v>33.426596445029617</v>
      </c>
    </row>
    <row r="728" spans="1:10" x14ac:dyDescent="0.35">
      <c r="A728" t="s">
        <v>862</v>
      </c>
      <c r="B728" s="4">
        <v>45077</v>
      </c>
      <c r="C728" t="s">
        <v>392</v>
      </c>
      <c r="D728" t="s">
        <v>34</v>
      </c>
      <c r="E728">
        <v>8</v>
      </c>
      <c r="F728">
        <v>0</v>
      </c>
      <c r="G728" cm="1">
        <f t="array" ref="G728">SALESTABLE[[#This Row],[Quantity]]*_xlfn.XLOOKUP(SALESTABLE[[#This Row],[Product_ID]],ProductsTable[Product_ID],ProductsTable[Unit_Price],WAASIU,0,1)</f>
        <v>2630</v>
      </c>
      <c r="H728" cm="1">
        <f t="array" ref="H728">SALESTABLE[[#This Row],[Quantity]]*_xlfn.XLOOKUP(SALESTABLE[[#This Row],[Product_ID]],ProductsTable[Product_ID],ProductsTable[Cost_Price],WAASIU,0,1)</f>
        <v>1865.44</v>
      </c>
      <c r="I728">
        <f>SALESTABLE[[#This Row],[Revenue]]-SALESTABLE[[#This Row],[COST]]</f>
        <v>764.56</v>
      </c>
      <c r="J728">
        <f>SALESTABLE[[#This Row],[PROFIT]]/SALESTABLE[[#This Row],[Revenue]]*100</f>
        <v>29.070722433460073</v>
      </c>
    </row>
    <row r="729" spans="1:10" x14ac:dyDescent="0.35">
      <c r="A729" t="s">
        <v>863</v>
      </c>
      <c r="B729" s="4">
        <v>45122</v>
      </c>
      <c r="C729" t="s">
        <v>48</v>
      </c>
      <c r="D729" t="s">
        <v>28</v>
      </c>
      <c r="E729">
        <v>2</v>
      </c>
      <c r="F729">
        <v>15</v>
      </c>
      <c r="G729" cm="1">
        <f t="array" ref="G729">SALESTABLE[[#This Row],[Quantity]]*_xlfn.XLOOKUP(SALESTABLE[[#This Row],[Product_ID]],ProductsTable[Product_ID],ProductsTable[Unit_Price],WAASIU,0,1)</f>
        <v>850.96</v>
      </c>
      <c r="H729" cm="1">
        <f t="array" ref="H729">SALESTABLE[[#This Row],[Quantity]]*_xlfn.XLOOKUP(SALESTABLE[[#This Row],[Product_ID]],ProductsTable[Product_ID],ProductsTable[Cost_Price],WAASIU,0,1)</f>
        <v>466.96</v>
      </c>
      <c r="I729">
        <f>SALESTABLE[[#This Row],[Revenue]]-SALESTABLE[[#This Row],[COST]]</f>
        <v>384.00000000000006</v>
      </c>
      <c r="J729">
        <f>SALESTABLE[[#This Row],[PROFIT]]/SALESTABLE[[#This Row],[Revenue]]*100</f>
        <v>45.12550531164802</v>
      </c>
    </row>
    <row r="730" spans="1:10" x14ac:dyDescent="0.35">
      <c r="A730" t="s">
        <v>864</v>
      </c>
      <c r="B730" s="4">
        <v>45315</v>
      </c>
      <c r="C730" t="s">
        <v>65</v>
      </c>
      <c r="D730" t="s">
        <v>16</v>
      </c>
      <c r="E730">
        <v>20</v>
      </c>
      <c r="F730">
        <v>20</v>
      </c>
      <c r="G730" cm="1">
        <f t="array" ref="G730">SALESTABLE[[#This Row],[Quantity]]*_xlfn.XLOOKUP(SALESTABLE[[#This Row],[Product_ID]],ProductsTable[Product_ID],ProductsTable[Unit_Price],WAASIU,0,1)</f>
        <v>7243.4000000000005</v>
      </c>
      <c r="H730" cm="1">
        <f t="array" ref="H730">SALESTABLE[[#This Row],[Quantity]]*_xlfn.XLOOKUP(SALESTABLE[[#This Row],[Product_ID]],ProductsTable[Product_ID],ProductsTable[Cost_Price],WAASIU,0,1)</f>
        <v>4667.6000000000004</v>
      </c>
      <c r="I730">
        <f>SALESTABLE[[#This Row],[Revenue]]-SALESTABLE[[#This Row],[COST]]</f>
        <v>2575.8000000000002</v>
      </c>
      <c r="J730">
        <f>SALESTABLE[[#This Row],[PROFIT]]/SALESTABLE[[#This Row],[Revenue]]*100</f>
        <v>35.560648314327523</v>
      </c>
    </row>
    <row r="731" spans="1:10" x14ac:dyDescent="0.35">
      <c r="A731" t="s">
        <v>865</v>
      </c>
      <c r="B731" s="4">
        <v>45288</v>
      </c>
      <c r="C731" t="s">
        <v>116</v>
      </c>
      <c r="D731" t="s">
        <v>74</v>
      </c>
      <c r="E731">
        <v>2</v>
      </c>
      <c r="F731">
        <v>20</v>
      </c>
      <c r="G731" cm="1">
        <f t="array" ref="G731">SALESTABLE[[#This Row],[Quantity]]*_xlfn.XLOOKUP(SALESTABLE[[#This Row],[Product_ID]],ProductsTable[Product_ID],ProductsTable[Unit_Price],WAASIU,0,1)</f>
        <v>86</v>
      </c>
      <c r="H731" cm="1">
        <f t="array" ref="H731">SALESTABLE[[#This Row],[Quantity]]*_xlfn.XLOOKUP(SALESTABLE[[#This Row],[Product_ID]],ProductsTable[Product_ID],ProductsTable[Cost_Price],WAASIU,0,1)</f>
        <v>60.1</v>
      </c>
      <c r="I731">
        <f>SALESTABLE[[#This Row],[Revenue]]-SALESTABLE[[#This Row],[COST]]</f>
        <v>25.9</v>
      </c>
      <c r="J731">
        <f>SALESTABLE[[#This Row],[PROFIT]]/SALESTABLE[[#This Row],[Revenue]]*100</f>
        <v>30.116279069767437</v>
      </c>
    </row>
    <row r="732" spans="1:10" x14ac:dyDescent="0.35">
      <c r="A732" t="s">
        <v>866</v>
      </c>
      <c r="B732" s="4">
        <v>45557</v>
      </c>
      <c r="C732" t="s">
        <v>46</v>
      </c>
      <c r="D732" t="s">
        <v>16</v>
      </c>
      <c r="E732">
        <v>17</v>
      </c>
      <c r="F732">
        <v>15</v>
      </c>
      <c r="G732" cm="1">
        <f t="array" ref="G732">SALESTABLE[[#This Row],[Quantity]]*_xlfn.XLOOKUP(SALESTABLE[[#This Row],[Product_ID]],ProductsTable[Product_ID],ProductsTable[Unit_Price],WAASIU,0,1)</f>
        <v>6156.89</v>
      </c>
      <c r="H732" cm="1">
        <f t="array" ref="H732">SALESTABLE[[#This Row],[Quantity]]*_xlfn.XLOOKUP(SALESTABLE[[#This Row],[Product_ID]],ProductsTable[Product_ID],ProductsTable[Cost_Price],WAASIU,0,1)</f>
        <v>3967.46</v>
      </c>
      <c r="I732">
        <f>SALESTABLE[[#This Row],[Revenue]]-SALESTABLE[[#This Row],[COST]]</f>
        <v>2189.4300000000003</v>
      </c>
      <c r="J732">
        <f>SALESTABLE[[#This Row],[PROFIT]]/SALESTABLE[[#This Row],[Revenue]]*100</f>
        <v>35.56064831432753</v>
      </c>
    </row>
    <row r="733" spans="1:10" x14ac:dyDescent="0.35">
      <c r="A733" t="s">
        <v>867</v>
      </c>
      <c r="B733" s="4">
        <v>45030</v>
      </c>
      <c r="C733" t="s">
        <v>177</v>
      </c>
      <c r="D733" t="s">
        <v>139</v>
      </c>
      <c r="E733">
        <v>5</v>
      </c>
      <c r="F733">
        <v>5</v>
      </c>
      <c r="G733" cm="1">
        <f t="array" ref="G733">SALESTABLE[[#This Row],[Quantity]]*_xlfn.XLOOKUP(SALESTABLE[[#This Row],[Product_ID]],ProductsTable[Product_ID],ProductsTable[Unit_Price],WAASIU,0,1)</f>
        <v>2285.5500000000002</v>
      </c>
      <c r="H733" cm="1">
        <f t="array" ref="H733">SALESTABLE[[#This Row],[Quantity]]*_xlfn.XLOOKUP(SALESTABLE[[#This Row],[Product_ID]],ProductsTable[Product_ID],ProductsTable[Cost_Price],WAASIU,0,1)</f>
        <v>1637.6</v>
      </c>
      <c r="I733">
        <f>SALESTABLE[[#This Row],[Revenue]]-SALESTABLE[[#This Row],[COST]]</f>
        <v>647.95000000000027</v>
      </c>
      <c r="J733">
        <f>SALESTABLE[[#This Row],[PROFIT]]/SALESTABLE[[#This Row],[Revenue]]*100</f>
        <v>28.349850145479216</v>
      </c>
    </row>
    <row r="734" spans="1:10" x14ac:dyDescent="0.35">
      <c r="A734" t="s">
        <v>868</v>
      </c>
      <c r="B734" s="4">
        <v>45545</v>
      </c>
      <c r="C734" t="s">
        <v>83</v>
      </c>
      <c r="D734" t="s">
        <v>25</v>
      </c>
      <c r="E734">
        <v>6</v>
      </c>
      <c r="F734">
        <v>0</v>
      </c>
      <c r="G734" cm="1">
        <f t="array" ref="G734">SALESTABLE[[#This Row],[Quantity]]*_xlfn.XLOOKUP(SALESTABLE[[#This Row],[Product_ID]],ProductsTable[Product_ID],ProductsTable[Unit_Price],WAASIU,0,1)</f>
        <v>1066.56</v>
      </c>
      <c r="H734" cm="1">
        <f t="array" ref="H734">SALESTABLE[[#This Row],[Quantity]]*_xlfn.XLOOKUP(SALESTABLE[[#This Row],[Product_ID]],ProductsTable[Product_ID],ProductsTable[Cost_Price],WAASIU,0,1)</f>
        <v>551.28</v>
      </c>
      <c r="I734">
        <f>SALESTABLE[[#This Row],[Revenue]]-SALESTABLE[[#This Row],[COST]]</f>
        <v>515.28</v>
      </c>
      <c r="J734">
        <f>SALESTABLE[[#This Row],[PROFIT]]/SALESTABLE[[#This Row],[Revenue]]*100</f>
        <v>48.312331233123309</v>
      </c>
    </row>
    <row r="735" spans="1:10" x14ac:dyDescent="0.35">
      <c r="A735" t="s">
        <v>869</v>
      </c>
      <c r="B735" s="4">
        <v>45472</v>
      </c>
      <c r="C735" t="s">
        <v>304</v>
      </c>
      <c r="D735" t="s">
        <v>31</v>
      </c>
      <c r="E735">
        <v>20</v>
      </c>
      <c r="F735">
        <v>15</v>
      </c>
      <c r="G735" cm="1">
        <f t="array" ref="G735">SALESTABLE[[#This Row],[Quantity]]*_xlfn.XLOOKUP(SALESTABLE[[#This Row],[Product_ID]],ProductsTable[Product_ID],ProductsTable[Unit_Price],WAASIU,0,1)</f>
        <v>3462.7999999999997</v>
      </c>
      <c r="H735" cm="1">
        <f t="array" ref="H735">SALESTABLE[[#This Row],[Quantity]]*_xlfn.XLOOKUP(SALESTABLE[[#This Row],[Product_ID]],ProductsTable[Product_ID],ProductsTable[Cost_Price],WAASIU,0,1)</f>
        <v>2005.8000000000002</v>
      </c>
      <c r="I735">
        <f>SALESTABLE[[#This Row],[Revenue]]-SALESTABLE[[#This Row],[COST]]</f>
        <v>1456.9999999999995</v>
      </c>
      <c r="J735">
        <f>SALESTABLE[[#This Row],[PROFIT]]/SALESTABLE[[#This Row],[Revenue]]*100</f>
        <v>42.07577682800045</v>
      </c>
    </row>
    <row r="736" spans="1:10" x14ac:dyDescent="0.35">
      <c r="A736" t="s">
        <v>870</v>
      </c>
      <c r="B736" s="4">
        <v>45558</v>
      </c>
      <c r="C736" t="s">
        <v>154</v>
      </c>
      <c r="D736" t="s">
        <v>100</v>
      </c>
      <c r="E736">
        <v>13</v>
      </c>
      <c r="F736">
        <v>10</v>
      </c>
      <c r="G736" cm="1">
        <f t="array" ref="G736">SALESTABLE[[#This Row],[Quantity]]*_xlfn.XLOOKUP(SALESTABLE[[#This Row],[Product_ID]],ProductsTable[Product_ID],ProductsTable[Unit_Price],WAASIU,0,1)</f>
        <v>5321.16</v>
      </c>
      <c r="H736" cm="1">
        <f t="array" ref="H736">SALESTABLE[[#This Row],[Quantity]]*_xlfn.XLOOKUP(SALESTABLE[[#This Row],[Product_ID]],ProductsTable[Product_ID],ProductsTable[Cost_Price],WAASIU,0,1)</f>
        <v>2764.4500000000003</v>
      </c>
      <c r="I736">
        <f>SALESTABLE[[#This Row],[Revenue]]-SALESTABLE[[#This Row],[COST]]</f>
        <v>2556.7099999999996</v>
      </c>
      <c r="J736">
        <f>SALESTABLE[[#This Row],[PROFIT]]/SALESTABLE[[#This Row],[Revenue]]*100</f>
        <v>48.047982018958265</v>
      </c>
    </row>
    <row r="737" spans="1:10" x14ac:dyDescent="0.35">
      <c r="A737" t="s">
        <v>871</v>
      </c>
      <c r="B737" s="4">
        <v>45502</v>
      </c>
      <c r="C737" t="s">
        <v>118</v>
      </c>
      <c r="D737" t="s">
        <v>248</v>
      </c>
      <c r="E737">
        <v>4</v>
      </c>
      <c r="F737">
        <v>5</v>
      </c>
      <c r="G737" cm="1">
        <f t="array" ref="G737">SALESTABLE[[#This Row],[Quantity]]*_xlfn.XLOOKUP(SALESTABLE[[#This Row],[Product_ID]],ProductsTable[Product_ID],ProductsTable[Unit_Price],WAASIU,0,1)</f>
        <v>746.84</v>
      </c>
      <c r="H737" cm="1">
        <f t="array" ref="H737">SALESTABLE[[#This Row],[Quantity]]*_xlfn.XLOOKUP(SALESTABLE[[#This Row],[Product_ID]],ProductsTable[Product_ID],ProductsTable[Cost_Price],WAASIU,0,1)</f>
        <v>500.76</v>
      </c>
      <c r="I737">
        <f>SALESTABLE[[#This Row],[Revenue]]-SALESTABLE[[#This Row],[COST]]</f>
        <v>246.08000000000004</v>
      </c>
      <c r="J737">
        <f>SALESTABLE[[#This Row],[PROFIT]]/SALESTABLE[[#This Row],[Revenue]]*100</f>
        <v>32.94949386749505</v>
      </c>
    </row>
    <row r="738" spans="1:10" x14ac:dyDescent="0.35">
      <c r="A738" t="s">
        <v>872</v>
      </c>
      <c r="B738" s="4">
        <v>45571</v>
      </c>
      <c r="C738" t="s">
        <v>284</v>
      </c>
      <c r="D738" t="s">
        <v>22</v>
      </c>
      <c r="E738">
        <v>16</v>
      </c>
      <c r="F738">
        <v>20</v>
      </c>
      <c r="G738" cm="1">
        <f t="array" ref="G738">SALESTABLE[[#This Row],[Quantity]]*_xlfn.XLOOKUP(SALESTABLE[[#This Row],[Product_ID]],ProductsTable[Product_ID],ProductsTable[Unit_Price],WAASIU,0,1)</f>
        <v>6714.72</v>
      </c>
      <c r="H738" cm="1">
        <f t="array" ref="H738">SALESTABLE[[#This Row],[Quantity]]*_xlfn.XLOOKUP(SALESTABLE[[#This Row],[Product_ID]],ProductsTable[Product_ID],ProductsTable[Cost_Price],WAASIU,0,1)</f>
        <v>3414.72</v>
      </c>
      <c r="I738">
        <f>SALESTABLE[[#This Row],[Revenue]]-SALESTABLE[[#This Row],[COST]]</f>
        <v>3300.0000000000005</v>
      </c>
      <c r="J738">
        <f>SALESTABLE[[#This Row],[PROFIT]]/SALESTABLE[[#This Row],[Revenue]]*100</f>
        <v>49.145757380799203</v>
      </c>
    </row>
    <row r="739" spans="1:10" x14ac:dyDescent="0.35">
      <c r="A739" t="s">
        <v>873</v>
      </c>
      <c r="B739" s="4">
        <v>45459</v>
      </c>
      <c r="C739" t="s">
        <v>83</v>
      </c>
      <c r="D739" t="s">
        <v>113</v>
      </c>
      <c r="E739">
        <v>14</v>
      </c>
      <c r="F739">
        <v>5</v>
      </c>
      <c r="G739" cm="1">
        <f t="array" ref="G739">SALESTABLE[[#This Row],[Quantity]]*_xlfn.XLOOKUP(SALESTABLE[[#This Row],[Product_ID]],ProductsTable[Product_ID],ProductsTable[Unit_Price],WAASIU,0,1)</f>
        <v>4719.2599999999993</v>
      </c>
      <c r="H739" cm="1">
        <f t="array" ref="H739">SALESTABLE[[#This Row],[Quantity]]*_xlfn.XLOOKUP(SALESTABLE[[#This Row],[Product_ID]],ProductsTable[Product_ID],ProductsTable[Cost_Price],WAASIU,0,1)</f>
        <v>2609.7399999999998</v>
      </c>
      <c r="I739">
        <f>SALESTABLE[[#This Row],[Revenue]]-SALESTABLE[[#This Row],[COST]]</f>
        <v>2109.5199999999995</v>
      </c>
      <c r="J739">
        <f>SALESTABLE[[#This Row],[PROFIT]]/SALESTABLE[[#This Row],[Revenue]]*100</f>
        <v>44.700228425643004</v>
      </c>
    </row>
    <row r="740" spans="1:10" x14ac:dyDescent="0.35">
      <c r="A740" t="s">
        <v>874</v>
      </c>
      <c r="B740" s="4">
        <v>45206</v>
      </c>
      <c r="C740" t="s">
        <v>63</v>
      </c>
      <c r="D740" t="s">
        <v>25</v>
      </c>
      <c r="E740">
        <v>2</v>
      </c>
      <c r="F740">
        <v>20</v>
      </c>
      <c r="G740" cm="1">
        <f t="array" ref="G740">SALESTABLE[[#This Row],[Quantity]]*_xlfn.XLOOKUP(SALESTABLE[[#This Row],[Product_ID]],ProductsTable[Product_ID],ProductsTable[Unit_Price],WAASIU,0,1)</f>
        <v>355.52</v>
      </c>
      <c r="H740" cm="1">
        <f t="array" ref="H740">SALESTABLE[[#This Row],[Quantity]]*_xlfn.XLOOKUP(SALESTABLE[[#This Row],[Product_ID]],ProductsTable[Product_ID],ProductsTable[Cost_Price],WAASIU,0,1)</f>
        <v>183.76</v>
      </c>
      <c r="I740">
        <f>SALESTABLE[[#This Row],[Revenue]]-SALESTABLE[[#This Row],[COST]]</f>
        <v>171.76</v>
      </c>
      <c r="J740">
        <f>SALESTABLE[[#This Row],[PROFIT]]/SALESTABLE[[#This Row],[Revenue]]*100</f>
        <v>48.312331233123309</v>
      </c>
    </row>
    <row r="741" spans="1:10" x14ac:dyDescent="0.35">
      <c r="A741" t="s">
        <v>875</v>
      </c>
      <c r="B741" s="4">
        <v>44941</v>
      </c>
      <c r="C741" t="s">
        <v>274</v>
      </c>
      <c r="D741" t="s">
        <v>16</v>
      </c>
      <c r="E741">
        <v>6</v>
      </c>
      <c r="F741">
        <v>20</v>
      </c>
      <c r="G741" cm="1">
        <f t="array" ref="G741">SALESTABLE[[#This Row],[Quantity]]*_xlfn.XLOOKUP(SALESTABLE[[#This Row],[Product_ID]],ProductsTable[Product_ID],ProductsTable[Unit_Price],WAASIU,0,1)</f>
        <v>2173.02</v>
      </c>
      <c r="H741" cm="1">
        <f t="array" ref="H741">SALESTABLE[[#This Row],[Quantity]]*_xlfn.XLOOKUP(SALESTABLE[[#This Row],[Product_ID]],ProductsTable[Product_ID],ProductsTable[Cost_Price],WAASIU,0,1)</f>
        <v>1400.28</v>
      </c>
      <c r="I741">
        <f>SALESTABLE[[#This Row],[Revenue]]-SALESTABLE[[#This Row],[COST]]</f>
        <v>772.74</v>
      </c>
      <c r="J741">
        <f>SALESTABLE[[#This Row],[PROFIT]]/SALESTABLE[[#This Row],[Revenue]]*100</f>
        <v>35.560648314327523</v>
      </c>
    </row>
    <row r="742" spans="1:10" x14ac:dyDescent="0.35">
      <c r="A742" t="s">
        <v>876</v>
      </c>
      <c r="B742" s="4">
        <v>45516</v>
      </c>
      <c r="C742" t="s">
        <v>69</v>
      </c>
      <c r="D742" t="s">
        <v>11</v>
      </c>
      <c r="E742">
        <v>9</v>
      </c>
      <c r="F742">
        <v>20</v>
      </c>
      <c r="G742" cm="1">
        <f t="array" ref="G742">SALESTABLE[[#This Row],[Quantity]]*_xlfn.XLOOKUP(SALESTABLE[[#This Row],[Product_ID]],ProductsTable[Product_ID],ProductsTable[Unit_Price],WAASIU,0,1)</f>
        <v>4295.43</v>
      </c>
      <c r="H742" cm="1">
        <f t="array" ref="H742">SALESTABLE[[#This Row],[Quantity]]*_xlfn.XLOOKUP(SALESTABLE[[#This Row],[Product_ID]],ProductsTable[Product_ID],ProductsTable[Cost_Price],WAASIU,0,1)</f>
        <v>2689.56</v>
      </c>
      <c r="I742">
        <f>SALESTABLE[[#This Row],[Revenue]]-SALESTABLE[[#This Row],[COST]]</f>
        <v>1605.8700000000003</v>
      </c>
      <c r="J742">
        <f>SALESTABLE[[#This Row],[PROFIT]]/SALESTABLE[[#This Row],[Revenue]]*100</f>
        <v>37.385546965030279</v>
      </c>
    </row>
    <row r="743" spans="1:10" x14ac:dyDescent="0.35">
      <c r="A743" t="s">
        <v>877</v>
      </c>
      <c r="B743" s="4">
        <v>45437</v>
      </c>
      <c r="C743" t="s">
        <v>245</v>
      </c>
      <c r="D743" t="s">
        <v>248</v>
      </c>
      <c r="E743">
        <v>10</v>
      </c>
      <c r="F743">
        <v>10</v>
      </c>
      <c r="G743" cm="1">
        <f t="array" ref="G743">SALESTABLE[[#This Row],[Quantity]]*_xlfn.XLOOKUP(SALESTABLE[[#This Row],[Product_ID]],ProductsTable[Product_ID],ProductsTable[Unit_Price],WAASIU,0,1)</f>
        <v>1867.1000000000001</v>
      </c>
      <c r="H743" cm="1">
        <f t="array" ref="H743">SALESTABLE[[#This Row],[Quantity]]*_xlfn.XLOOKUP(SALESTABLE[[#This Row],[Product_ID]],ProductsTable[Product_ID],ProductsTable[Cost_Price],WAASIU,0,1)</f>
        <v>1251.9000000000001</v>
      </c>
      <c r="I743">
        <f>SALESTABLE[[#This Row],[Revenue]]-SALESTABLE[[#This Row],[COST]]</f>
        <v>615.20000000000005</v>
      </c>
      <c r="J743">
        <f>SALESTABLE[[#This Row],[PROFIT]]/SALESTABLE[[#This Row],[Revenue]]*100</f>
        <v>32.949493867495043</v>
      </c>
    </row>
    <row r="744" spans="1:10" x14ac:dyDescent="0.35">
      <c r="A744" t="s">
        <v>878</v>
      </c>
      <c r="B744" s="4">
        <v>45228</v>
      </c>
      <c r="C744" t="s">
        <v>76</v>
      </c>
      <c r="D744" t="s">
        <v>13</v>
      </c>
      <c r="E744">
        <v>11</v>
      </c>
      <c r="F744">
        <v>5</v>
      </c>
      <c r="G744" cm="1">
        <f t="array" ref="G744">SALESTABLE[[#This Row],[Quantity]]*_xlfn.XLOOKUP(SALESTABLE[[#This Row],[Product_ID]],ProductsTable[Product_ID],ProductsTable[Unit_Price],WAASIU,0,1)</f>
        <v>4786.9800000000005</v>
      </c>
      <c r="H744" cm="1">
        <f t="array" ref="H744">SALESTABLE[[#This Row],[Quantity]]*_xlfn.XLOOKUP(SALESTABLE[[#This Row],[Product_ID]],ProductsTable[Product_ID],ProductsTable[Cost_Price],WAASIU,0,1)</f>
        <v>2540.4499999999998</v>
      </c>
      <c r="I744">
        <f>SALESTABLE[[#This Row],[Revenue]]-SALESTABLE[[#This Row],[COST]]</f>
        <v>2246.5300000000007</v>
      </c>
      <c r="J744">
        <f>SALESTABLE[[#This Row],[PROFIT]]/SALESTABLE[[#This Row],[Revenue]]*100</f>
        <v>46.930005974539277</v>
      </c>
    </row>
    <row r="745" spans="1:10" x14ac:dyDescent="0.35">
      <c r="A745" t="s">
        <v>879</v>
      </c>
      <c r="B745" s="4">
        <v>45183</v>
      </c>
      <c r="C745" t="s">
        <v>159</v>
      </c>
      <c r="D745" t="s">
        <v>107</v>
      </c>
      <c r="E745">
        <v>17</v>
      </c>
      <c r="F745">
        <v>0</v>
      </c>
      <c r="G745" cm="1">
        <f t="array" ref="G745">SALESTABLE[[#This Row],[Quantity]]*_xlfn.XLOOKUP(SALESTABLE[[#This Row],[Product_ID]],ProductsTable[Product_ID],ProductsTable[Unit_Price],WAASIU,0,1)</f>
        <v>1105.17</v>
      </c>
      <c r="H745" cm="1">
        <f t="array" ref="H745">SALESTABLE[[#This Row],[Quantity]]*_xlfn.XLOOKUP(SALESTABLE[[#This Row],[Product_ID]],ProductsTable[Product_ID],ProductsTable[Cost_Price],WAASIU,0,1)</f>
        <v>626.11</v>
      </c>
      <c r="I745">
        <f>SALESTABLE[[#This Row],[Revenue]]-SALESTABLE[[#This Row],[COST]]</f>
        <v>479.06000000000006</v>
      </c>
      <c r="J745">
        <f>SALESTABLE[[#This Row],[PROFIT]]/SALESTABLE[[#This Row],[Revenue]]*100</f>
        <v>43.347177357329642</v>
      </c>
    </row>
    <row r="746" spans="1:10" x14ac:dyDescent="0.35">
      <c r="A746" t="s">
        <v>880</v>
      </c>
      <c r="B746" s="4">
        <v>45039</v>
      </c>
      <c r="C746" t="s">
        <v>225</v>
      </c>
      <c r="D746" t="s">
        <v>93</v>
      </c>
      <c r="E746">
        <v>3</v>
      </c>
      <c r="F746">
        <v>10</v>
      </c>
      <c r="G746" cm="1">
        <f t="array" ref="G746">SALESTABLE[[#This Row],[Quantity]]*_xlfn.XLOOKUP(SALESTABLE[[#This Row],[Product_ID]],ProductsTable[Product_ID],ProductsTable[Unit_Price],WAASIU,0,1)</f>
        <v>642.09</v>
      </c>
      <c r="H746" cm="1">
        <f t="array" ref="H746">SALESTABLE[[#This Row],[Quantity]]*_xlfn.XLOOKUP(SALESTABLE[[#This Row],[Product_ID]],ProductsTable[Product_ID],ProductsTable[Cost_Price],WAASIU,0,1)</f>
        <v>470.13</v>
      </c>
      <c r="I746">
        <f>SALESTABLE[[#This Row],[Revenue]]-SALESTABLE[[#This Row],[COST]]</f>
        <v>171.96000000000004</v>
      </c>
      <c r="J746">
        <f>SALESTABLE[[#This Row],[PROFIT]]/SALESTABLE[[#This Row],[Revenue]]*100</f>
        <v>26.781292342195023</v>
      </c>
    </row>
    <row r="747" spans="1:10" x14ac:dyDescent="0.35">
      <c r="A747" t="s">
        <v>881</v>
      </c>
      <c r="B747" s="4">
        <v>45649</v>
      </c>
      <c r="C747" t="s">
        <v>79</v>
      </c>
      <c r="D747" t="s">
        <v>133</v>
      </c>
      <c r="E747">
        <v>11</v>
      </c>
      <c r="F747">
        <v>5</v>
      </c>
      <c r="G747" cm="1">
        <f t="array" ref="G747">SALESTABLE[[#This Row],[Quantity]]*_xlfn.XLOOKUP(SALESTABLE[[#This Row],[Product_ID]],ProductsTable[Product_ID],ProductsTable[Unit_Price],WAASIU,0,1)</f>
        <v>3861</v>
      </c>
      <c r="H747" cm="1">
        <f t="array" ref="H747">SALESTABLE[[#This Row],[Quantity]]*_xlfn.XLOOKUP(SALESTABLE[[#This Row],[Product_ID]],ProductsTable[Product_ID],ProductsTable[Cost_Price],WAASIU,0,1)</f>
        <v>2569.9299999999998</v>
      </c>
      <c r="I747">
        <f>SALESTABLE[[#This Row],[Revenue]]-SALESTABLE[[#This Row],[COST]]</f>
        <v>1291.0700000000002</v>
      </c>
      <c r="J747">
        <f>SALESTABLE[[#This Row],[PROFIT]]/SALESTABLE[[#This Row],[Revenue]]*100</f>
        <v>33.438746438746442</v>
      </c>
    </row>
    <row r="748" spans="1:10" x14ac:dyDescent="0.35">
      <c r="A748" t="s">
        <v>882</v>
      </c>
      <c r="B748" s="4">
        <v>45454</v>
      </c>
      <c r="C748" t="s">
        <v>116</v>
      </c>
      <c r="D748" t="s">
        <v>49</v>
      </c>
      <c r="E748">
        <v>9</v>
      </c>
      <c r="F748">
        <v>5</v>
      </c>
      <c r="G748" cm="1">
        <f t="array" ref="G748">SALESTABLE[[#This Row],[Quantity]]*_xlfn.XLOOKUP(SALESTABLE[[#This Row],[Product_ID]],ProductsTable[Product_ID],ProductsTable[Unit_Price],WAASIU,0,1)</f>
        <v>2066.67</v>
      </c>
      <c r="H748" cm="1">
        <f t="array" ref="H748">SALESTABLE[[#This Row],[Quantity]]*_xlfn.XLOOKUP(SALESTABLE[[#This Row],[Product_ID]],ProductsTable[Product_ID],ProductsTable[Cost_Price],WAASIU,0,1)</f>
        <v>1182.78</v>
      </c>
      <c r="I748">
        <f>SALESTABLE[[#This Row],[Revenue]]-SALESTABLE[[#This Row],[COST]]</f>
        <v>883.8900000000001</v>
      </c>
      <c r="J748">
        <f>SALESTABLE[[#This Row],[PROFIT]]/SALESTABLE[[#This Row],[Revenue]]*100</f>
        <v>42.76880198580325</v>
      </c>
    </row>
    <row r="749" spans="1:10" x14ac:dyDescent="0.35">
      <c r="A749" t="s">
        <v>883</v>
      </c>
      <c r="B749" s="4">
        <v>45245</v>
      </c>
      <c r="C749" t="s">
        <v>73</v>
      </c>
      <c r="D749" t="s">
        <v>133</v>
      </c>
      <c r="E749">
        <v>20</v>
      </c>
      <c r="F749">
        <v>10</v>
      </c>
      <c r="G749" cm="1">
        <f t="array" ref="G749">SALESTABLE[[#This Row],[Quantity]]*_xlfn.XLOOKUP(SALESTABLE[[#This Row],[Product_ID]],ProductsTable[Product_ID],ProductsTable[Unit_Price],WAASIU,0,1)</f>
        <v>7020</v>
      </c>
      <c r="H749" cm="1">
        <f t="array" ref="H749">SALESTABLE[[#This Row],[Quantity]]*_xlfn.XLOOKUP(SALESTABLE[[#This Row],[Product_ID]],ProductsTable[Product_ID],ProductsTable[Cost_Price],WAASIU,0,1)</f>
        <v>4672.6000000000004</v>
      </c>
      <c r="I749">
        <f>SALESTABLE[[#This Row],[Revenue]]-SALESTABLE[[#This Row],[COST]]</f>
        <v>2347.3999999999996</v>
      </c>
      <c r="J749">
        <f>SALESTABLE[[#This Row],[PROFIT]]/SALESTABLE[[#This Row],[Revenue]]*100</f>
        <v>33.438746438746435</v>
      </c>
    </row>
    <row r="750" spans="1:10" x14ac:dyDescent="0.35">
      <c r="A750" t="s">
        <v>884</v>
      </c>
      <c r="B750" s="4">
        <v>45651</v>
      </c>
      <c r="C750" t="s">
        <v>36</v>
      </c>
      <c r="D750" t="s">
        <v>127</v>
      </c>
      <c r="E750">
        <v>3</v>
      </c>
      <c r="F750">
        <v>15</v>
      </c>
      <c r="G750" cm="1">
        <f t="array" ref="G750">SALESTABLE[[#This Row],[Quantity]]*_xlfn.XLOOKUP(SALESTABLE[[#This Row],[Product_ID]],ProductsTable[Product_ID],ProductsTable[Unit_Price],WAASIU,0,1)</f>
        <v>276.20999999999998</v>
      </c>
      <c r="H750" cm="1">
        <f t="array" ref="H750">SALESTABLE[[#This Row],[Quantity]]*_xlfn.XLOOKUP(SALESTABLE[[#This Row],[Product_ID]],ProductsTable[Product_ID],ProductsTable[Cost_Price],WAASIU,0,1)</f>
        <v>169.07999999999998</v>
      </c>
      <c r="I750">
        <f>SALESTABLE[[#This Row],[Revenue]]-SALESTABLE[[#This Row],[COST]]</f>
        <v>107.13</v>
      </c>
      <c r="J750">
        <f>SALESTABLE[[#This Row],[PROFIT]]/SALESTABLE[[#This Row],[Revenue]]*100</f>
        <v>38.785706527642013</v>
      </c>
    </row>
    <row r="751" spans="1:10" x14ac:dyDescent="0.35">
      <c r="A751" t="s">
        <v>885</v>
      </c>
      <c r="B751" s="4">
        <v>45162</v>
      </c>
      <c r="C751" t="s">
        <v>237</v>
      </c>
      <c r="D751" t="s">
        <v>44</v>
      </c>
      <c r="E751">
        <v>20</v>
      </c>
      <c r="F751">
        <v>5</v>
      </c>
      <c r="G751" cm="1">
        <f t="array" ref="G751">SALESTABLE[[#This Row],[Quantity]]*_xlfn.XLOOKUP(SALESTABLE[[#This Row],[Product_ID]],ProductsTable[Product_ID],ProductsTable[Unit_Price],WAASIU,0,1)</f>
        <v>2683.8</v>
      </c>
      <c r="H751" cm="1">
        <f t="array" ref="H751">SALESTABLE[[#This Row],[Quantity]]*_xlfn.XLOOKUP(SALESTABLE[[#This Row],[Product_ID]],ProductsTable[Product_ID],ProductsTable[Cost_Price],WAASIU,0,1)</f>
        <v>1666.3999999999999</v>
      </c>
      <c r="I751">
        <f>SALESTABLE[[#This Row],[Revenue]]-SALESTABLE[[#This Row],[COST]]</f>
        <v>1017.4000000000003</v>
      </c>
      <c r="J751">
        <f>SALESTABLE[[#This Row],[PROFIT]]/SALESTABLE[[#This Row],[Revenue]]*100</f>
        <v>37.908935092033694</v>
      </c>
    </row>
    <row r="752" spans="1:10" x14ac:dyDescent="0.35">
      <c r="A752" t="s">
        <v>886</v>
      </c>
      <c r="B752" s="4">
        <v>44983</v>
      </c>
      <c r="C752" t="s">
        <v>198</v>
      </c>
      <c r="D752" t="s">
        <v>107</v>
      </c>
      <c r="E752">
        <v>4</v>
      </c>
      <c r="F752">
        <v>20</v>
      </c>
      <c r="G752" cm="1">
        <f t="array" ref="G752">SALESTABLE[[#This Row],[Quantity]]*_xlfn.XLOOKUP(SALESTABLE[[#This Row],[Product_ID]],ProductsTable[Product_ID],ProductsTable[Unit_Price],WAASIU,0,1)</f>
        <v>260.04000000000002</v>
      </c>
      <c r="H752" cm="1">
        <f t="array" ref="H752">SALESTABLE[[#This Row],[Quantity]]*_xlfn.XLOOKUP(SALESTABLE[[#This Row],[Product_ID]],ProductsTable[Product_ID],ProductsTable[Cost_Price],WAASIU,0,1)</f>
        <v>147.32</v>
      </c>
      <c r="I752">
        <f>SALESTABLE[[#This Row],[Revenue]]-SALESTABLE[[#This Row],[COST]]</f>
        <v>112.72000000000003</v>
      </c>
      <c r="J752">
        <f>SALESTABLE[[#This Row],[PROFIT]]/SALESTABLE[[#This Row],[Revenue]]*100</f>
        <v>43.347177357329649</v>
      </c>
    </row>
    <row r="753" spans="1:10" x14ac:dyDescent="0.35">
      <c r="A753" t="s">
        <v>887</v>
      </c>
      <c r="B753" s="4">
        <v>45640</v>
      </c>
      <c r="C753" t="s">
        <v>304</v>
      </c>
      <c r="D753" t="s">
        <v>110</v>
      </c>
      <c r="E753">
        <v>19</v>
      </c>
      <c r="F753">
        <v>10</v>
      </c>
      <c r="G753" cm="1">
        <f t="array" ref="G753">SALESTABLE[[#This Row],[Quantity]]*_xlfn.XLOOKUP(SALESTABLE[[#This Row],[Product_ID]],ProductsTable[Product_ID],ProductsTable[Unit_Price],WAASIU,0,1)</f>
        <v>9335.08</v>
      </c>
      <c r="H753" cm="1">
        <f t="array" ref="H753">SALESTABLE[[#This Row],[Quantity]]*_xlfn.XLOOKUP(SALESTABLE[[#This Row],[Product_ID]],ProductsTable[Product_ID],ProductsTable[Cost_Price],WAASIU,0,1)</f>
        <v>5094.09</v>
      </c>
      <c r="I753">
        <f>SALESTABLE[[#This Row],[Revenue]]-SALESTABLE[[#This Row],[COST]]</f>
        <v>4240.99</v>
      </c>
      <c r="J753">
        <f>SALESTABLE[[#This Row],[PROFIT]]/SALESTABLE[[#This Row],[Revenue]]*100</f>
        <v>45.430676544818041</v>
      </c>
    </row>
    <row r="754" spans="1:10" x14ac:dyDescent="0.35">
      <c r="A754" t="s">
        <v>888</v>
      </c>
      <c r="B754" s="4">
        <v>45072</v>
      </c>
      <c r="C754" t="s">
        <v>76</v>
      </c>
      <c r="D754" t="s">
        <v>13</v>
      </c>
      <c r="E754">
        <v>17</v>
      </c>
      <c r="F754">
        <v>10</v>
      </c>
      <c r="G754" cm="1">
        <f t="array" ref="G754">SALESTABLE[[#This Row],[Quantity]]*_xlfn.XLOOKUP(SALESTABLE[[#This Row],[Product_ID]],ProductsTable[Product_ID],ProductsTable[Unit_Price],WAASIU,0,1)</f>
        <v>7398.06</v>
      </c>
      <c r="H754" cm="1">
        <f t="array" ref="H754">SALESTABLE[[#This Row],[Quantity]]*_xlfn.XLOOKUP(SALESTABLE[[#This Row],[Product_ID]],ProductsTable[Product_ID],ProductsTable[Cost_Price],WAASIU,0,1)</f>
        <v>3926.1499999999996</v>
      </c>
      <c r="I754">
        <f>SALESTABLE[[#This Row],[Revenue]]-SALESTABLE[[#This Row],[COST]]</f>
        <v>3471.9100000000008</v>
      </c>
      <c r="J754">
        <f>SALESTABLE[[#This Row],[PROFIT]]/SALESTABLE[[#This Row],[Revenue]]*100</f>
        <v>46.930005974539277</v>
      </c>
    </row>
    <row r="755" spans="1:10" x14ac:dyDescent="0.35">
      <c r="A755" t="s">
        <v>889</v>
      </c>
      <c r="B755" s="4">
        <v>45237</v>
      </c>
      <c r="C755" t="s">
        <v>304</v>
      </c>
      <c r="D755" t="s">
        <v>16</v>
      </c>
      <c r="E755">
        <v>6</v>
      </c>
      <c r="F755">
        <v>15</v>
      </c>
      <c r="G755" cm="1">
        <f t="array" ref="G755">SALESTABLE[[#This Row],[Quantity]]*_xlfn.XLOOKUP(SALESTABLE[[#This Row],[Product_ID]],ProductsTable[Product_ID],ProductsTable[Unit_Price],WAASIU,0,1)</f>
        <v>2173.02</v>
      </c>
      <c r="H755" cm="1">
        <f t="array" ref="H755">SALESTABLE[[#This Row],[Quantity]]*_xlfn.XLOOKUP(SALESTABLE[[#This Row],[Product_ID]],ProductsTable[Product_ID],ProductsTable[Cost_Price],WAASIU,0,1)</f>
        <v>1400.28</v>
      </c>
      <c r="I755">
        <f>SALESTABLE[[#This Row],[Revenue]]-SALESTABLE[[#This Row],[COST]]</f>
        <v>772.74</v>
      </c>
      <c r="J755">
        <f>SALESTABLE[[#This Row],[PROFIT]]/SALESTABLE[[#This Row],[Revenue]]*100</f>
        <v>35.560648314327523</v>
      </c>
    </row>
    <row r="756" spans="1:10" x14ac:dyDescent="0.35">
      <c r="A756" t="s">
        <v>890</v>
      </c>
      <c r="B756" s="4">
        <v>45149</v>
      </c>
      <c r="C756" t="s">
        <v>142</v>
      </c>
      <c r="D756" t="s">
        <v>107</v>
      </c>
      <c r="E756">
        <v>5</v>
      </c>
      <c r="F756">
        <v>15</v>
      </c>
      <c r="G756" cm="1">
        <f t="array" ref="G756">SALESTABLE[[#This Row],[Quantity]]*_xlfn.XLOOKUP(SALESTABLE[[#This Row],[Product_ID]],ProductsTable[Product_ID],ProductsTable[Unit_Price],WAASIU,0,1)</f>
        <v>325.05</v>
      </c>
      <c r="H756" cm="1">
        <f t="array" ref="H756">SALESTABLE[[#This Row],[Quantity]]*_xlfn.XLOOKUP(SALESTABLE[[#This Row],[Product_ID]],ProductsTable[Product_ID],ProductsTable[Cost_Price],WAASIU,0,1)</f>
        <v>184.14999999999998</v>
      </c>
      <c r="I756">
        <f>SALESTABLE[[#This Row],[Revenue]]-SALESTABLE[[#This Row],[COST]]</f>
        <v>140.90000000000003</v>
      </c>
      <c r="J756">
        <f>SALESTABLE[[#This Row],[PROFIT]]/SALESTABLE[[#This Row],[Revenue]]*100</f>
        <v>43.347177357329656</v>
      </c>
    </row>
    <row r="757" spans="1:10" x14ac:dyDescent="0.35">
      <c r="A757" t="s">
        <v>891</v>
      </c>
      <c r="B757" s="4">
        <v>45208</v>
      </c>
      <c r="C757" t="s">
        <v>30</v>
      </c>
      <c r="D757" t="s">
        <v>57</v>
      </c>
      <c r="E757">
        <v>7</v>
      </c>
      <c r="F757">
        <v>0</v>
      </c>
      <c r="G757" cm="1">
        <f t="array" ref="G757">SALESTABLE[[#This Row],[Quantity]]*_xlfn.XLOOKUP(SALESTABLE[[#This Row],[Product_ID]],ProductsTable[Product_ID],ProductsTable[Unit_Price],WAASIU,0,1)</f>
        <v>1111.8100000000002</v>
      </c>
      <c r="H757" cm="1">
        <f t="array" ref="H757">SALESTABLE[[#This Row],[Quantity]]*_xlfn.XLOOKUP(SALESTABLE[[#This Row],[Product_ID]],ProductsTable[Product_ID],ProductsTable[Cost_Price],WAASIU,0,1)</f>
        <v>888.57999999999993</v>
      </c>
      <c r="I757">
        <f>SALESTABLE[[#This Row],[Revenue]]-SALESTABLE[[#This Row],[COST]]</f>
        <v>223.23000000000025</v>
      </c>
      <c r="J757">
        <f>SALESTABLE[[#This Row],[PROFIT]]/SALESTABLE[[#This Row],[Revenue]]*100</f>
        <v>20.078070893408064</v>
      </c>
    </row>
    <row r="758" spans="1:10" x14ac:dyDescent="0.35">
      <c r="A758" t="s">
        <v>892</v>
      </c>
      <c r="B758" s="4">
        <v>45551</v>
      </c>
      <c r="C758" t="s">
        <v>245</v>
      </c>
      <c r="D758" t="s">
        <v>139</v>
      </c>
      <c r="E758">
        <v>5</v>
      </c>
      <c r="F758">
        <v>0</v>
      </c>
      <c r="G758" cm="1">
        <f t="array" ref="G758">SALESTABLE[[#This Row],[Quantity]]*_xlfn.XLOOKUP(SALESTABLE[[#This Row],[Product_ID]],ProductsTable[Product_ID],ProductsTable[Unit_Price],WAASIU,0,1)</f>
        <v>2285.5500000000002</v>
      </c>
      <c r="H758" cm="1">
        <f t="array" ref="H758">SALESTABLE[[#This Row],[Quantity]]*_xlfn.XLOOKUP(SALESTABLE[[#This Row],[Product_ID]],ProductsTable[Product_ID],ProductsTable[Cost_Price],WAASIU,0,1)</f>
        <v>1637.6</v>
      </c>
      <c r="I758">
        <f>SALESTABLE[[#This Row],[Revenue]]-SALESTABLE[[#This Row],[COST]]</f>
        <v>647.95000000000027</v>
      </c>
      <c r="J758">
        <f>SALESTABLE[[#This Row],[PROFIT]]/SALESTABLE[[#This Row],[Revenue]]*100</f>
        <v>28.349850145479216</v>
      </c>
    </row>
    <row r="759" spans="1:10" x14ac:dyDescent="0.35">
      <c r="A759" t="s">
        <v>893</v>
      </c>
      <c r="B759" s="4">
        <v>45261</v>
      </c>
      <c r="C759" t="s">
        <v>179</v>
      </c>
      <c r="D759" t="s">
        <v>19</v>
      </c>
      <c r="E759">
        <v>20</v>
      </c>
      <c r="F759">
        <v>0</v>
      </c>
      <c r="G759" cm="1">
        <f t="array" ref="G759">SALESTABLE[[#This Row],[Quantity]]*_xlfn.XLOOKUP(SALESTABLE[[#This Row],[Product_ID]],ProductsTable[Product_ID],ProductsTable[Unit_Price],WAASIU,0,1)</f>
        <v>1215.2</v>
      </c>
      <c r="H759" cm="1">
        <f t="array" ref="H759">SALESTABLE[[#This Row],[Quantity]]*_xlfn.XLOOKUP(SALESTABLE[[#This Row],[Product_ID]],ProductsTable[Product_ID],ProductsTable[Cost_Price],WAASIU,0,1)</f>
        <v>809</v>
      </c>
      <c r="I759">
        <f>SALESTABLE[[#This Row],[Revenue]]-SALESTABLE[[#This Row],[COST]]</f>
        <v>406.20000000000005</v>
      </c>
      <c r="J759">
        <f>SALESTABLE[[#This Row],[PROFIT]]/SALESTABLE[[#This Row],[Revenue]]*100</f>
        <v>33.426596445029624</v>
      </c>
    </row>
    <row r="760" spans="1:10" x14ac:dyDescent="0.35">
      <c r="A760" t="s">
        <v>894</v>
      </c>
      <c r="B760" s="4">
        <v>44965</v>
      </c>
      <c r="C760" t="s">
        <v>76</v>
      </c>
      <c r="D760" t="s">
        <v>137</v>
      </c>
      <c r="E760">
        <v>14</v>
      </c>
      <c r="F760">
        <v>5</v>
      </c>
      <c r="G760" cm="1">
        <f t="array" ref="G760">SALESTABLE[[#This Row],[Quantity]]*_xlfn.XLOOKUP(SALESTABLE[[#This Row],[Product_ID]],ProductsTable[Product_ID],ProductsTable[Unit_Price],WAASIU,0,1)</f>
        <v>5088.16</v>
      </c>
      <c r="H760" cm="1">
        <f t="array" ref="H760">SALESTABLE[[#This Row],[Quantity]]*_xlfn.XLOOKUP(SALESTABLE[[#This Row],[Product_ID]],ProductsTable[Product_ID],ProductsTable[Cost_Price],WAASIU,0,1)</f>
        <v>3500.7000000000003</v>
      </c>
      <c r="I760">
        <f>SALESTABLE[[#This Row],[Revenue]]-SALESTABLE[[#This Row],[COST]]</f>
        <v>1587.4599999999996</v>
      </c>
      <c r="J760">
        <f>SALESTABLE[[#This Row],[PROFIT]]/SALESTABLE[[#This Row],[Revenue]]*100</f>
        <v>31.199097512656827</v>
      </c>
    </row>
    <row r="761" spans="1:10" x14ac:dyDescent="0.35">
      <c r="A761" t="s">
        <v>895</v>
      </c>
      <c r="B761" s="4">
        <v>45286</v>
      </c>
      <c r="C761" t="s">
        <v>118</v>
      </c>
      <c r="D761" t="s">
        <v>133</v>
      </c>
      <c r="E761">
        <v>2</v>
      </c>
      <c r="F761">
        <v>0</v>
      </c>
      <c r="G761" cm="1">
        <f t="array" ref="G761">SALESTABLE[[#This Row],[Quantity]]*_xlfn.XLOOKUP(SALESTABLE[[#This Row],[Product_ID]],ProductsTable[Product_ID],ProductsTable[Unit_Price],WAASIU,0,1)</f>
        <v>702</v>
      </c>
      <c r="H761" cm="1">
        <f t="array" ref="H761">SALESTABLE[[#This Row],[Quantity]]*_xlfn.XLOOKUP(SALESTABLE[[#This Row],[Product_ID]],ProductsTable[Product_ID],ProductsTable[Cost_Price],WAASIU,0,1)</f>
        <v>467.26</v>
      </c>
      <c r="I761">
        <f>SALESTABLE[[#This Row],[Revenue]]-SALESTABLE[[#This Row],[COST]]</f>
        <v>234.74</v>
      </c>
      <c r="J761">
        <f>SALESTABLE[[#This Row],[PROFIT]]/SALESTABLE[[#This Row],[Revenue]]*100</f>
        <v>33.438746438746442</v>
      </c>
    </row>
    <row r="762" spans="1:10" x14ac:dyDescent="0.35">
      <c r="A762" t="s">
        <v>896</v>
      </c>
      <c r="B762" s="4">
        <v>45530</v>
      </c>
      <c r="C762" t="s">
        <v>120</v>
      </c>
      <c r="D762" t="s">
        <v>52</v>
      </c>
      <c r="E762">
        <v>10</v>
      </c>
      <c r="F762">
        <v>20</v>
      </c>
      <c r="G762" cm="1">
        <f t="array" ref="G762">SALESTABLE[[#This Row],[Quantity]]*_xlfn.XLOOKUP(SALESTABLE[[#This Row],[Product_ID]],ProductsTable[Product_ID],ProductsTable[Unit_Price],WAASIU,0,1)</f>
        <v>1837.8</v>
      </c>
      <c r="H762" cm="1">
        <f t="array" ref="H762">SALESTABLE[[#This Row],[Quantity]]*_xlfn.XLOOKUP(SALESTABLE[[#This Row],[Product_ID]],ProductsTable[Product_ID],ProductsTable[Cost_Price],WAASIU,0,1)</f>
        <v>1156.3</v>
      </c>
      <c r="I762">
        <f>SALESTABLE[[#This Row],[Revenue]]-SALESTABLE[[#This Row],[COST]]</f>
        <v>681.5</v>
      </c>
      <c r="J762">
        <f>SALESTABLE[[#This Row],[PROFIT]]/SALESTABLE[[#This Row],[Revenue]]*100</f>
        <v>37.082381107846338</v>
      </c>
    </row>
    <row r="763" spans="1:10" x14ac:dyDescent="0.35">
      <c r="A763" t="s">
        <v>897</v>
      </c>
      <c r="B763" s="4">
        <v>45380</v>
      </c>
      <c r="C763" t="s">
        <v>265</v>
      </c>
      <c r="D763" t="s">
        <v>113</v>
      </c>
      <c r="E763">
        <v>10</v>
      </c>
      <c r="F763">
        <v>10</v>
      </c>
      <c r="G763" cm="1">
        <f t="array" ref="G763">SALESTABLE[[#This Row],[Quantity]]*_xlfn.XLOOKUP(SALESTABLE[[#This Row],[Product_ID]],ProductsTable[Product_ID],ProductsTable[Unit_Price],WAASIU,0,1)</f>
        <v>3370.8999999999996</v>
      </c>
      <c r="H763" cm="1">
        <f t="array" ref="H763">SALESTABLE[[#This Row],[Quantity]]*_xlfn.XLOOKUP(SALESTABLE[[#This Row],[Product_ID]],ProductsTable[Product_ID],ProductsTable[Cost_Price],WAASIU,0,1)</f>
        <v>1864.1</v>
      </c>
      <c r="I763">
        <f>SALESTABLE[[#This Row],[Revenue]]-SALESTABLE[[#This Row],[COST]]</f>
        <v>1506.7999999999997</v>
      </c>
      <c r="J763">
        <f>SALESTABLE[[#This Row],[PROFIT]]/SALESTABLE[[#This Row],[Revenue]]*100</f>
        <v>44.700228425643004</v>
      </c>
    </row>
    <row r="764" spans="1:10" x14ac:dyDescent="0.35">
      <c r="A764" t="s">
        <v>898</v>
      </c>
      <c r="B764" s="4">
        <v>45156</v>
      </c>
      <c r="C764" t="s">
        <v>348</v>
      </c>
      <c r="D764" t="s">
        <v>100</v>
      </c>
      <c r="E764">
        <v>17</v>
      </c>
      <c r="F764">
        <v>15</v>
      </c>
      <c r="G764" cm="1">
        <f t="array" ref="G764">SALESTABLE[[#This Row],[Quantity]]*_xlfn.XLOOKUP(SALESTABLE[[#This Row],[Product_ID]],ProductsTable[Product_ID],ProductsTable[Unit_Price],WAASIU,0,1)</f>
        <v>6958.44</v>
      </c>
      <c r="H764" cm="1">
        <f t="array" ref="H764">SALESTABLE[[#This Row],[Quantity]]*_xlfn.XLOOKUP(SALESTABLE[[#This Row],[Product_ID]],ProductsTable[Product_ID],ProductsTable[Cost_Price],WAASIU,0,1)</f>
        <v>3615.05</v>
      </c>
      <c r="I764">
        <f>SALESTABLE[[#This Row],[Revenue]]-SALESTABLE[[#This Row],[COST]]</f>
        <v>3343.3899999999994</v>
      </c>
      <c r="J764">
        <f>SALESTABLE[[#This Row],[PROFIT]]/SALESTABLE[[#This Row],[Revenue]]*100</f>
        <v>48.047982018958265</v>
      </c>
    </row>
    <row r="765" spans="1:10" x14ac:dyDescent="0.35">
      <c r="A765" t="s">
        <v>899</v>
      </c>
      <c r="B765" s="4">
        <v>44966</v>
      </c>
      <c r="C765" t="s">
        <v>63</v>
      </c>
      <c r="D765" t="s">
        <v>8</v>
      </c>
      <c r="E765">
        <v>10</v>
      </c>
      <c r="F765">
        <v>10</v>
      </c>
      <c r="G765" cm="1">
        <f t="array" ref="G765">SALESTABLE[[#This Row],[Quantity]]*_xlfn.XLOOKUP(SALESTABLE[[#This Row],[Product_ID]],ProductsTable[Product_ID],ProductsTable[Unit_Price],WAASIU,0,1)</f>
        <v>3363.2</v>
      </c>
      <c r="H765" cm="1">
        <f t="array" ref="H765">SALESTABLE[[#This Row],[Quantity]]*_xlfn.XLOOKUP(SALESTABLE[[#This Row],[Product_ID]],ProductsTable[Product_ID],ProductsTable[Cost_Price],WAASIU,0,1)</f>
        <v>2277.8000000000002</v>
      </c>
      <c r="I765">
        <f>SALESTABLE[[#This Row],[Revenue]]-SALESTABLE[[#This Row],[COST]]</f>
        <v>1085.3999999999996</v>
      </c>
      <c r="J765">
        <f>SALESTABLE[[#This Row],[PROFIT]]/SALESTABLE[[#This Row],[Revenue]]*100</f>
        <v>32.272835394862028</v>
      </c>
    </row>
    <row r="766" spans="1:10" x14ac:dyDescent="0.35">
      <c r="A766" t="s">
        <v>900</v>
      </c>
      <c r="B766" s="4">
        <v>45652</v>
      </c>
      <c r="C766" t="s">
        <v>167</v>
      </c>
      <c r="D766" t="s">
        <v>113</v>
      </c>
      <c r="E766">
        <v>8</v>
      </c>
      <c r="F766">
        <v>15</v>
      </c>
      <c r="G766" cm="1">
        <f t="array" ref="G766">SALESTABLE[[#This Row],[Quantity]]*_xlfn.XLOOKUP(SALESTABLE[[#This Row],[Product_ID]],ProductsTable[Product_ID],ProductsTable[Unit_Price],WAASIU,0,1)</f>
        <v>2696.72</v>
      </c>
      <c r="H766" cm="1">
        <f t="array" ref="H766">SALESTABLE[[#This Row],[Quantity]]*_xlfn.XLOOKUP(SALESTABLE[[#This Row],[Product_ID]],ProductsTable[Product_ID],ProductsTable[Cost_Price],WAASIU,0,1)</f>
        <v>1491.28</v>
      </c>
      <c r="I766">
        <f>SALESTABLE[[#This Row],[Revenue]]-SALESTABLE[[#This Row],[COST]]</f>
        <v>1205.4399999999998</v>
      </c>
      <c r="J766">
        <f>SALESTABLE[[#This Row],[PROFIT]]/SALESTABLE[[#This Row],[Revenue]]*100</f>
        <v>44.700228425643004</v>
      </c>
    </row>
    <row r="767" spans="1:10" x14ac:dyDescent="0.35">
      <c r="A767" t="s">
        <v>901</v>
      </c>
      <c r="B767" s="4">
        <v>45360</v>
      </c>
      <c r="C767" t="s">
        <v>27</v>
      </c>
      <c r="D767" t="s">
        <v>74</v>
      </c>
      <c r="E767">
        <v>7</v>
      </c>
      <c r="F767">
        <v>0</v>
      </c>
      <c r="G767" cm="1">
        <f t="array" ref="G767">SALESTABLE[[#This Row],[Quantity]]*_xlfn.XLOOKUP(SALESTABLE[[#This Row],[Product_ID]],ProductsTable[Product_ID],ProductsTable[Unit_Price],WAASIU,0,1)</f>
        <v>301</v>
      </c>
      <c r="H767" cm="1">
        <f t="array" ref="H767">SALESTABLE[[#This Row],[Quantity]]*_xlfn.XLOOKUP(SALESTABLE[[#This Row],[Product_ID]],ProductsTable[Product_ID],ProductsTable[Cost_Price],WAASIU,0,1)</f>
        <v>210.35</v>
      </c>
      <c r="I767">
        <f>SALESTABLE[[#This Row],[Revenue]]-SALESTABLE[[#This Row],[COST]]</f>
        <v>90.65</v>
      </c>
      <c r="J767">
        <f>SALESTABLE[[#This Row],[PROFIT]]/SALESTABLE[[#This Row],[Revenue]]*100</f>
        <v>30.116279069767444</v>
      </c>
    </row>
    <row r="768" spans="1:10" x14ac:dyDescent="0.35">
      <c r="A768" t="s">
        <v>902</v>
      </c>
      <c r="B768" s="4">
        <v>45227</v>
      </c>
      <c r="C768" t="s">
        <v>90</v>
      </c>
      <c r="D768" t="s">
        <v>49</v>
      </c>
      <c r="E768">
        <v>7</v>
      </c>
      <c r="F768">
        <v>5</v>
      </c>
      <c r="G768" cm="1">
        <f t="array" ref="G768">SALESTABLE[[#This Row],[Quantity]]*_xlfn.XLOOKUP(SALESTABLE[[#This Row],[Product_ID]],ProductsTable[Product_ID],ProductsTable[Unit_Price],WAASIU,0,1)</f>
        <v>1607.4099999999999</v>
      </c>
      <c r="H768" cm="1">
        <f t="array" ref="H768">SALESTABLE[[#This Row],[Quantity]]*_xlfn.XLOOKUP(SALESTABLE[[#This Row],[Product_ID]],ProductsTable[Product_ID],ProductsTable[Cost_Price],WAASIU,0,1)</f>
        <v>919.93999999999994</v>
      </c>
      <c r="I768">
        <f>SALESTABLE[[#This Row],[Revenue]]-SALESTABLE[[#This Row],[COST]]</f>
        <v>687.46999999999991</v>
      </c>
      <c r="J768">
        <f>SALESTABLE[[#This Row],[PROFIT]]/SALESTABLE[[#This Row],[Revenue]]*100</f>
        <v>42.768801985803243</v>
      </c>
    </row>
    <row r="769" spans="1:10" x14ac:dyDescent="0.35">
      <c r="A769" t="s">
        <v>903</v>
      </c>
      <c r="B769" s="4">
        <v>45275</v>
      </c>
      <c r="C769" t="s">
        <v>67</v>
      </c>
      <c r="D769" t="s">
        <v>16</v>
      </c>
      <c r="E769">
        <v>18</v>
      </c>
      <c r="F769">
        <v>10</v>
      </c>
      <c r="G769" cm="1">
        <f t="array" ref="G769">SALESTABLE[[#This Row],[Quantity]]*_xlfn.XLOOKUP(SALESTABLE[[#This Row],[Product_ID]],ProductsTable[Product_ID],ProductsTable[Unit_Price],WAASIU,0,1)</f>
        <v>6519.06</v>
      </c>
      <c r="H769" cm="1">
        <f t="array" ref="H769">SALESTABLE[[#This Row],[Quantity]]*_xlfn.XLOOKUP(SALESTABLE[[#This Row],[Product_ID]],ProductsTable[Product_ID],ProductsTable[Cost_Price],WAASIU,0,1)</f>
        <v>4200.84</v>
      </c>
      <c r="I769">
        <f>SALESTABLE[[#This Row],[Revenue]]-SALESTABLE[[#This Row],[COST]]</f>
        <v>2318.2200000000003</v>
      </c>
      <c r="J769">
        <f>SALESTABLE[[#This Row],[PROFIT]]/SALESTABLE[[#This Row],[Revenue]]*100</f>
        <v>35.560648314327523</v>
      </c>
    </row>
    <row r="770" spans="1:10" x14ac:dyDescent="0.35">
      <c r="A770" t="s">
        <v>904</v>
      </c>
      <c r="B770" s="4">
        <v>45017</v>
      </c>
      <c r="C770" t="s">
        <v>198</v>
      </c>
      <c r="D770" t="s">
        <v>49</v>
      </c>
      <c r="E770">
        <v>10</v>
      </c>
      <c r="F770">
        <v>5</v>
      </c>
      <c r="G770" cm="1">
        <f t="array" ref="G770">SALESTABLE[[#This Row],[Quantity]]*_xlfn.XLOOKUP(SALESTABLE[[#This Row],[Product_ID]],ProductsTable[Product_ID],ProductsTable[Unit_Price],WAASIU,0,1)</f>
        <v>2296.3000000000002</v>
      </c>
      <c r="H770" cm="1">
        <f t="array" ref="H770">SALESTABLE[[#This Row],[Quantity]]*_xlfn.XLOOKUP(SALESTABLE[[#This Row],[Product_ID]],ProductsTable[Product_ID],ProductsTable[Cost_Price],WAASIU,0,1)</f>
        <v>1314.1999999999998</v>
      </c>
      <c r="I770">
        <f>SALESTABLE[[#This Row],[Revenue]]-SALESTABLE[[#This Row],[COST]]</f>
        <v>982.10000000000036</v>
      </c>
      <c r="J770">
        <f>SALESTABLE[[#This Row],[PROFIT]]/SALESTABLE[[#This Row],[Revenue]]*100</f>
        <v>42.768801985803265</v>
      </c>
    </row>
    <row r="771" spans="1:10" x14ac:dyDescent="0.35">
      <c r="A771" t="s">
        <v>905</v>
      </c>
      <c r="B771" s="4">
        <v>45470</v>
      </c>
      <c r="C771" t="s">
        <v>193</v>
      </c>
      <c r="D771" t="s">
        <v>34</v>
      </c>
      <c r="E771">
        <v>12</v>
      </c>
      <c r="F771">
        <v>0</v>
      </c>
      <c r="G771" cm="1">
        <f t="array" ref="G771">SALESTABLE[[#This Row],[Quantity]]*_xlfn.XLOOKUP(SALESTABLE[[#This Row],[Product_ID]],ProductsTable[Product_ID],ProductsTable[Unit_Price],WAASIU,0,1)</f>
        <v>3945</v>
      </c>
      <c r="H771" cm="1">
        <f t="array" ref="H771">SALESTABLE[[#This Row],[Quantity]]*_xlfn.XLOOKUP(SALESTABLE[[#This Row],[Product_ID]],ProductsTable[Product_ID],ProductsTable[Cost_Price],WAASIU,0,1)</f>
        <v>2798.16</v>
      </c>
      <c r="I771">
        <f>SALESTABLE[[#This Row],[Revenue]]-SALESTABLE[[#This Row],[COST]]</f>
        <v>1146.8400000000001</v>
      </c>
      <c r="J771">
        <f>SALESTABLE[[#This Row],[PROFIT]]/SALESTABLE[[#This Row],[Revenue]]*100</f>
        <v>29.070722433460077</v>
      </c>
    </row>
    <row r="772" spans="1:10" x14ac:dyDescent="0.35">
      <c r="A772" t="s">
        <v>906</v>
      </c>
      <c r="B772" s="4">
        <v>45185</v>
      </c>
      <c r="C772" t="s">
        <v>198</v>
      </c>
      <c r="D772" t="s">
        <v>100</v>
      </c>
      <c r="E772">
        <v>4</v>
      </c>
      <c r="F772">
        <v>15</v>
      </c>
      <c r="G772" cm="1">
        <f t="array" ref="G772">SALESTABLE[[#This Row],[Quantity]]*_xlfn.XLOOKUP(SALESTABLE[[#This Row],[Product_ID]],ProductsTable[Product_ID],ProductsTable[Unit_Price],WAASIU,0,1)</f>
        <v>1637.28</v>
      </c>
      <c r="H772" cm="1">
        <f t="array" ref="H772">SALESTABLE[[#This Row],[Quantity]]*_xlfn.XLOOKUP(SALESTABLE[[#This Row],[Product_ID]],ProductsTable[Product_ID],ProductsTable[Cost_Price],WAASIU,0,1)</f>
        <v>850.6</v>
      </c>
      <c r="I772">
        <f>SALESTABLE[[#This Row],[Revenue]]-SALESTABLE[[#This Row],[COST]]</f>
        <v>786.68</v>
      </c>
      <c r="J772">
        <f>SALESTABLE[[#This Row],[PROFIT]]/SALESTABLE[[#This Row],[Revenue]]*100</f>
        <v>48.047982018958265</v>
      </c>
    </row>
    <row r="773" spans="1:10" x14ac:dyDescent="0.35">
      <c r="A773" t="s">
        <v>907</v>
      </c>
      <c r="B773" s="4">
        <v>45140</v>
      </c>
      <c r="C773" t="s">
        <v>120</v>
      </c>
      <c r="D773" t="s">
        <v>13</v>
      </c>
      <c r="E773">
        <v>5</v>
      </c>
      <c r="F773">
        <v>20</v>
      </c>
      <c r="G773" cm="1">
        <f t="array" ref="G773">SALESTABLE[[#This Row],[Quantity]]*_xlfn.XLOOKUP(SALESTABLE[[#This Row],[Product_ID]],ProductsTable[Product_ID],ProductsTable[Unit_Price],WAASIU,0,1)</f>
        <v>2175.9</v>
      </c>
      <c r="H773" cm="1">
        <f t="array" ref="H773">SALESTABLE[[#This Row],[Quantity]]*_xlfn.XLOOKUP(SALESTABLE[[#This Row],[Product_ID]],ProductsTable[Product_ID],ProductsTable[Cost_Price],WAASIU,0,1)</f>
        <v>1154.75</v>
      </c>
      <c r="I773">
        <f>SALESTABLE[[#This Row],[Revenue]]-SALESTABLE[[#This Row],[COST]]</f>
        <v>1021.1500000000001</v>
      </c>
      <c r="J773">
        <f>SALESTABLE[[#This Row],[PROFIT]]/SALESTABLE[[#This Row],[Revenue]]*100</f>
        <v>46.930005974539277</v>
      </c>
    </row>
    <row r="774" spans="1:10" x14ac:dyDescent="0.35">
      <c r="A774" t="s">
        <v>908</v>
      </c>
      <c r="B774" s="4">
        <v>45404</v>
      </c>
      <c r="C774" t="s">
        <v>229</v>
      </c>
      <c r="D774" t="s">
        <v>52</v>
      </c>
      <c r="E774">
        <v>19</v>
      </c>
      <c r="F774">
        <v>15</v>
      </c>
      <c r="G774" cm="1">
        <f t="array" ref="G774">SALESTABLE[[#This Row],[Quantity]]*_xlfn.XLOOKUP(SALESTABLE[[#This Row],[Product_ID]],ProductsTable[Product_ID],ProductsTable[Unit_Price],WAASIU,0,1)</f>
        <v>3491.82</v>
      </c>
      <c r="H774" cm="1">
        <f t="array" ref="H774">SALESTABLE[[#This Row],[Quantity]]*_xlfn.XLOOKUP(SALESTABLE[[#This Row],[Product_ID]],ProductsTable[Product_ID],ProductsTable[Cost_Price],WAASIU,0,1)</f>
        <v>2196.9699999999998</v>
      </c>
      <c r="I774">
        <f>SALESTABLE[[#This Row],[Revenue]]-SALESTABLE[[#This Row],[COST]]</f>
        <v>1294.8500000000004</v>
      </c>
      <c r="J774">
        <f>SALESTABLE[[#This Row],[PROFIT]]/SALESTABLE[[#This Row],[Revenue]]*100</f>
        <v>37.082381107846345</v>
      </c>
    </row>
    <row r="775" spans="1:10" x14ac:dyDescent="0.35">
      <c r="A775" t="s">
        <v>909</v>
      </c>
      <c r="B775" s="4">
        <v>44971</v>
      </c>
      <c r="C775" t="s">
        <v>112</v>
      </c>
      <c r="D775" t="s">
        <v>97</v>
      </c>
      <c r="E775">
        <v>11</v>
      </c>
      <c r="F775">
        <v>10</v>
      </c>
      <c r="G775" cm="1">
        <f t="array" ref="G775">SALESTABLE[[#This Row],[Quantity]]*_xlfn.XLOOKUP(SALESTABLE[[#This Row],[Product_ID]],ProductsTable[Product_ID],ProductsTable[Unit_Price],WAASIU,0,1)</f>
        <v>3412.31</v>
      </c>
      <c r="H775" cm="1">
        <f t="array" ref="H775">SALESTABLE[[#This Row],[Quantity]]*_xlfn.XLOOKUP(SALESTABLE[[#This Row],[Product_ID]],ProductsTable[Product_ID],ProductsTable[Cost_Price],WAASIU,0,1)</f>
        <v>2478.19</v>
      </c>
      <c r="I775">
        <f>SALESTABLE[[#This Row],[Revenue]]-SALESTABLE[[#This Row],[COST]]</f>
        <v>934.11999999999989</v>
      </c>
      <c r="J775">
        <f>SALESTABLE[[#This Row],[PROFIT]]/SALESTABLE[[#This Row],[Revenue]]*100</f>
        <v>27.375004029528384</v>
      </c>
    </row>
    <row r="776" spans="1:10" x14ac:dyDescent="0.35">
      <c r="A776" t="s">
        <v>910</v>
      </c>
      <c r="B776" s="4">
        <v>44951</v>
      </c>
      <c r="C776" t="s">
        <v>223</v>
      </c>
      <c r="D776" t="s">
        <v>113</v>
      </c>
      <c r="E776">
        <v>5</v>
      </c>
      <c r="F776">
        <v>15</v>
      </c>
      <c r="G776" cm="1">
        <f t="array" ref="G776">SALESTABLE[[#This Row],[Quantity]]*_xlfn.XLOOKUP(SALESTABLE[[#This Row],[Product_ID]],ProductsTable[Product_ID],ProductsTable[Unit_Price],WAASIU,0,1)</f>
        <v>1685.4499999999998</v>
      </c>
      <c r="H776" cm="1">
        <f t="array" ref="H776">SALESTABLE[[#This Row],[Quantity]]*_xlfn.XLOOKUP(SALESTABLE[[#This Row],[Product_ID]],ProductsTable[Product_ID],ProductsTable[Cost_Price],WAASIU,0,1)</f>
        <v>932.05</v>
      </c>
      <c r="I776">
        <f>SALESTABLE[[#This Row],[Revenue]]-SALESTABLE[[#This Row],[COST]]</f>
        <v>753.39999999999986</v>
      </c>
      <c r="J776">
        <f>SALESTABLE[[#This Row],[PROFIT]]/SALESTABLE[[#This Row],[Revenue]]*100</f>
        <v>44.700228425643004</v>
      </c>
    </row>
    <row r="777" spans="1:10" x14ac:dyDescent="0.35">
      <c r="A777" t="s">
        <v>911</v>
      </c>
      <c r="B777" s="4">
        <v>45543</v>
      </c>
      <c r="C777" t="s">
        <v>257</v>
      </c>
      <c r="D777" t="s">
        <v>113</v>
      </c>
      <c r="E777">
        <v>3</v>
      </c>
      <c r="F777">
        <v>15</v>
      </c>
      <c r="G777" cm="1">
        <f t="array" ref="G777">SALESTABLE[[#This Row],[Quantity]]*_xlfn.XLOOKUP(SALESTABLE[[#This Row],[Product_ID]],ProductsTable[Product_ID],ProductsTable[Unit_Price],WAASIU,0,1)</f>
        <v>1011.27</v>
      </c>
      <c r="H777" cm="1">
        <f t="array" ref="H777">SALESTABLE[[#This Row],[Quantity]]*_xlfn.XLOOKUP(SALESTABLE[[#This Row],[Product_ID]],ProductsTable[Product_ID],ProductsTable[Cost_Price],WAASIU,0,1)</f>
        <v>559.23</v>
      </c>
      <c r="I777">
        <f>SALESTABLE[[#This Row],[Revenue]]-SALESTABLE[[#This Row],[COST]]</f>
        <v>452.03999999999996</v>
      </c>
      <c r="J777">
        <f>SALESTABLE[[#This Row],[PROFIT]]/SALESTABLE[[#This Row],[Revenue]]*100</f>
        <v>44.700228425643004</v>
      </c>
    </row>
    <row r="778" spans="1:10" x14ac:dyDescent="0.35">
      <c r="A778" t="s">
        <v>912</v>
      </c>
      <c r="B778" s="4">
        <v>45032</v>
      </c>
      <c r="C778" t="s">
        <v>237</v>
      </c>
      <c r="D778" t="s">
        <v>97</v>
      </c>
      <c r="E778">
        <v>6</v>
      </c>
      <c r="F778">
        <v>15</v>
      </c>
      <c r="G778" cm="1">
        <f t="array" ref="G778">SALESTABLE[[#This Row],[Quantity]]*_xlfn.XLOOKUP(SALESTABLE[[#This Row],[Product_ID]],ProductsTable[Product_ID],ProductsTable[Unit_Price],WAASIU,0,1)</f>
        <v>1861.2599999999998</v>
      </c>
      <c r="H778" cm="1">
        <f t="array" ref="H778">SALESTABLE[[#This Row],[Quantity]]*_xlfn.XLOOKUP(SALESTABLE[[#This Row],[Product_ID]],ProductsTable[Product_ID],ProductsTable[Cost_Price],WAASIU,0,1)</f>
        <v>1351.74</v>
      </c>
      <c r="I778">
        <f>SALESTABLE[[#This Row],[Revenue]]-SALESTABLE[[#This Row],[COST]]</f>
        <v>509.51999999999975</v>
      </c>
      <c r="J778">
        <f>SALESTABLE[[#This Row],[PROFIT]]/SALESTABLE[[#This Row],[Revenue]]*100</f>
        <v>27.375004029528377</v>
      </c>
    </row>
    <row r="779" spans="1:10" x14ac:dyDescent="0.35">
      <c r="A779" t="s">
        <v>913</v>
      </c>
      <c r="B779" s="4">
        <v>45301</v>
      </c>
      <c r="C779" t="s">
        <v>195</v>
      </c>
      <c r="D779" t="s">
        <v>25</v>
      </c>
      <c r="E779">
        <v>3</v>
      </c>
      <c r="F779">
        <v>15</v>
      </c>
      <c r="G779" cm="1">
        <f t="array" ref="G779">SALESTABLE[[#This Row],[Quantity]]*_xlfn.XLOOKUP(SALESTABLE[[#This Row],[Product_ID]],ProductsTable[Product_ID],ProductsTable[Unit_Price],WAASIU,0,1)</f>
        <v>533.28</v>
      </c>
      <c r="H779" cm="1">
        <f t="array" ref="H779">SALESTABLE[[#This Row],[Quantity]]*_xlfn.XLOOKUP(SALESTABLE[[#This Row],[Product_ID]],ProductsTable[Product_ID],ProductsTable[Cost_Price],WAASIU,0,1)</f>
        <v>275.64</v>
      </c>
      <c r="I779">
        <f>SALESTABLE[[#This Row],[Revenue]]-SALESTABLE[[#This Row],[COST]]</f>
        <v>257.64</v>
      </c>
      <c r="J779">
        <f>SALESTABLE[[#This Row],[PROFIT]]/SALESTABLE[[#This Row],[Revenue]]*100</f>
        <v>48.312331233123309</v>
      </c>
    </row>
    <row r="780" spans="1:10" x14ac:dyDescent="0.35">
      <c r="A780" t="s">
        <v>914</v>
      </c>
      <c r="B780" s="4">
        <v>45549</v>
      </c>
      <c r="C780" t="s">
        <v>311</v>
      </c>
      <c r="D780" t="s">
        <v>31</v>
      </c>
      <c r="E780">
        <v>1</v>
      </c>
      <c r="F780">
        <v>5</v>
      </c>
      <c r="G780" cm="1">
        <f t="array" ref="G780">SALESTABLE[[#This Row],[Quantity]]*_xlfn.XLOOKUP(SALESTABLE[[#This Row],[Product_ID]],ProductsTable[Product_ID],ProductsTable[Unit_Price],WAASIU,0,1)</f>
        <v>173.14</v>
      </c>
      <c r="H780" cm="1">
        <f t="array" ref="H780">SALESTABLE[[#This Row],[Quantity]]*_xlfn.XLOOKUP(SALESTABLE[[#This Row],[Product_ID]],ProductsTable[Product_ID],ProductsTable[Cost_Price],WAASIU,0,1)</f>
        <v>100.29</v>
      </c>
      <c r="I780">
        <f>SALESTABLE[[#This Row],[Revenue]]-SALESTABLE[[#This Row],[COST]]</f>
        <v>72.84999999999998</v>
      </c>
      <c r="J780">
        <f>SALESTABLE[[#This Row],[PROFIT]]/SALESTABLE[[#This Row],[Revenue]]*100</f>
        <v>42.075776828000457</v>
      </c>
    </row>
    <row r="781" spans="1:10" x14ac:dyDescent="0.35">
      <c r="A781" t="s">
        <v>915</v>
      </c>
      <c r="B781" s="4">
        <v>45617</v>
      </c>
      <c r="C781" t="s">
        <v>289</v>
      </c>
      <c r="D781" t="s">
        <v>133</v>
      </c>
      <c r="E781">
        <v>9</v>
      </c>
      <c r="F781">
        <v>15</v>
      </c>
      <c r="G781" cm="1">
        <f t="array" ref="G781">SALESTABLE[[#This Row],[Quantity]]*_xlfn.XLOOKUP(SALESTABLE[[#This Row],[Product_ID]],ProductsTable[Product_ID],ProductsTable[Unit_Price],WAASIU,0,1)</f>
        <v>3159</v>
      </c>
      <c r="H781" cm="1">
        <f t="array" ref="H781">SALESTABLE[[#This Row],[Quantity]]*_xlfn.XLOOKUP(SALESTABLE[[#This Row],[Product_ID]],ProductsTable[Product_ID],ProductsTable[Cost_Price],WAASIU,0,1)</f>
        <v>2102.67</v>
      </c>
      <c r="I781">
        <f>SALESTABLE[[#This Row],[Revenue]]-SALESTABLE[[#This Row],[COST]]</f>
        <v>1056.33</v>
      </c>
      <c r="J781">
        <f>SALESTABLE[[#This Row],[PROFIT]]/SALESTABLE[[#This Row],[Revenue]]*100</f>
        <v>33.438746438746435</v>
      </c>
    </row>
    <row r="782" spans="1:10" x14ac:dyDescent="0.35">
      <c r="A782" t="s">
        <v>916</v>
      </c>
      <c r="B782" s="4">
        <v>45275</v>
      </c>
      <c r="C782" t="s">
        <v>24</v>
      </c>
      <c r="D782" t="s">
        <v>97</v>
      </c>
      <c r="E782">
        <v>14</v>
      </c>
      <c r="F782">
        <v>10</v>
      </c>
      <c r="G782" cm="1">
        <f t="array" ref="G782">SALESTABLE[[#This Row],[Quantity]]*_xlfn.XLOOKUP(SALESTABLE[[#This Row],[Product_ID]],ProductsTable[Product_ID],ProductsTable[Unit_Price],WAASIU,0,1)</f>
        <v>4342.9399999999996</v>
      </c>
      <c r="H782" cm="1">
        <f t="array" ref="H782">SALESTABLE[[#This Row],[Quantity]]*_xlfn.XLOOKUP(SALESTABLE[[#This Row],[Product_ID]],ProductsTable[Product_ID],ProductsTable[Cost_Price],WAASIU,0,1)</f>
        <v>3154.06</v>
      </c>
      <c r="I782">
        <f>SALESTABLE[[#This Row],[Revenue]]-SALESTABLE[[#This Row],[COST]]</f>
        <v>1188.8799999999997</v>
      </c>
      <c r="J782">
        <f>SALESTABLE[[#This Row],[PROFIT]]/SALESTABLE[[#This Row],[Revenue]]*100</f>
        <v>27.375004029528377</v>
      </c>
    </row>
    <row r="783" spans="1:10" x14ac:dyDescent="0.35">
      <c r="A783" t="s">
        <v>917</v>
      </c>
      <c r="B783" s="4">
        <v>45556</v>
      </c>
      <c r="C783" t="s">
        <v>71</v>
      </c>
      <c r="D783" t="s">
        <v>34</v>
      </c>
      <c r="E783">
        <v>5</v>
      </c>
      <c r="F783">
        <v>10</v>
      </c>
      <c r="G783" cm="1">
        <f t="array" ref="G783">SALESTABLE[[#This Row],[Quantity]]*_xlfn.XLOOKUP(SALESTABLE[[#This Row],[Product_ID]],ProductsTable[Product_ID],ProductsTable[Unit_Price],WAASIU,0,1)</f>
        <v>1643.75</v>
      </c>
      <c r="H783" cm="1">
        <f t="array" ref="H783">SALESTABLE[[#This Row],[Quantity]]*_xlfn.XLOOKUP(SALESTABLE[[#This Row],[Product_ID]],ProductsTable[Product_ID],ProductsTable[Cost_Price],WAASIU,0,1)</f>
        <v>1165.9000000000001</v>
      </c>
      <c r="I783">
        <f>SALESTABLE[[#This Row],[Revenue]]-SALESTABLE[[#This Row],[COST]]</f>
        <v>477.84999999999991</v>
      </c>
      <c r="J783">
        <f>SALESTABLE[[#This Row],[PROFIT]]/SALESTABLE[[#This Row],[Revenue]]*100</f>
        <v>29.070722433460073</v>
      </c>
    </row>
    <row r="784" spans="1:10" x14ac:dyDescent="0.35">
      <c r="A784" t="s">
        <v>918</v>
      </c>
      <c r="B784" s="4">
        <v>45499</v>
      </c>
      <c r="C784" t="s">
        <v>177</v>
      </c>
      <c r="D784" t="s">
        <v>84</v>
      </c>
      <c r="E784">
        <v>20</v>
      </c>
      <c r="F784">
        <v>10</v>
      </c>
      <c r="G784" cm="1">
        <f t="array" ref="G784">SALESTABLE[[#This Row],[Quantity]]*_xlfn.XLOOKUP(SALESTABLE[[#This Row],[Product_ID]],ProductsTable[Product_ID],ProductsTable[Unit_Price],WAASIU,0,1)</f>
        <v>5378</v>
      </c>
      <c r="H784" cm="1">
        <f t="array" ref="H784">SALESTABLE[[#This Row],[Quantity]]*_xlfn.XLOOKUP(SALESTABLE[[#This Row],[Product_ID]],ProductsTable[Product_ID],ProductsTable[Cost_Price],WAASIU,0,1)</f>
        <v>3117.2000000000003</v>
      </c>
      <c r="I784">
        <f>SALESTABLE[[#This Row],[Revenue]]-SALESTABLE[[#This Row],[COST]]</f>
        <v>2260.7999999999997</v>
      </c>
      <c r="J784">
        <f>SALESTABLE[[#This Row],[PROFIT]]/SALESTABLE[[#This Row],[Revenue]]*100</f>
        <v>42.037932316846408</v>
      </c>
    </row>
    <row r="785" spans="1:10" x14ac:dyDescent="0.35">
      <c r="A785" t="s">
        <v>919</v>
      </c>
      <c r="B785" s="4">
        <v>45067</v>
      </c>
      <c r="C785" t="s">
        <v>33</v>
      </c>
      <c r="D785" t="s">
        <v>125</v>
      </c>
      <c r="E785">
        <v>11</v>
      </c>
      <c r="F785">
        <v>15</v>
      </c>
      <c r="G785" cm="1">
        <f t="array" ref="G785">SALESTABLE[[#This Row],[Quantity]]*_xlfn.XLOOKUP(SALESTABLE[[#This Row],[Product_ID]],ProductsTable[Product_ID],ProductsTable[Unit_Price],WAASIU,0,1)</f>
        <v>3681.7</v>
      </c>
      <c r="H785" cm="1">
        <f t="array" ref="H785">SALESTABLE[[#This Row],[Quantity]]*_xlfn.XLOOKUP(SALESTABLE[[#This Row],[Product_ID]],ProductsTable[Product_ID],ProductsTable[Cost_Price],WAASIU,0,1)</f>
        <v>2744.7200000000003</v>
      </c>
      <c r="I785">
        <f>SALESTABLE[[#This Row],[Revenue]]-SALESTABLE[[#This Row],[COST]]</f>
        <v>936.97999999999956</v>
      </c>
      <c r="J785">
        <f>SALESTABLE[[#This Row],[PROFIT]]/SALESTABLE[[#This Row],[Revenue]]*100</f>
        <v>25.44965640872422</v>
      </c>
    </row>
    <row r="786" spans="1:10" x14ac:dyDescent="0.35">
      <c r="A786" t="s">
        <v>920</v>
      </c>
      <c r="B786" s="4">
        <v>45444</v>
      </c>
      <c r="C786" t="s">
        <v>144</v>
      </c>
      <c r="D786" t="s">
        <v>34</v>
      </c>
      <c r="E786">
        <v>9</v>
      </c>
      <c r="F786">
        <v>10</v>
      </c>
      <c r="G786" cm="1">
        <f t="array" ref="G786">SALESTABLE[[#This Row],[Quantity]]*_xlfn.XLOOKUP(SALESTABLE[[#This Row],[Product_ID]],ProductsTable[Product_ID],ProductsTable[Unit_Price],WAASIU,0,1)</f>
        <v>2958.75</v>
      </c>
      <c r="H786" cm="1">
        <f t="array" ref="H786">SALESTABLE[[#This Row],[Quantity]]*_xlfn.XLOOKUP(SALESTABLE[[#This Row],[Product_ID]],ProductsTable[Product_ID],ProductsTable[Cost_Price],WAASIU,0,1)</f>
        <v>2098.62</v>
      </c>
      <c r="I786">
        <f>SALESTABLE[[#This Row],[Revenue]]-SALESTABLE[[#This Row],[COST]]</f>
        <v>860.13000000000011</v>
      </c>
      <c r="J786">
        <f>SALESTABLE[[#This Row],[PROFIT]]/SALESTABLE[[#This Row],[Revenue]]*100</f>
        <v>29.070722433460077</v>
      </c>
    </row>
    <row r="787" spans="1:10" x14ac:dyDescent="0.35">
      <c r="A787" t="s">
        <v>921</v>
      </c>
      <c r="B787" s="4">
        <v>45112</v>
      </c>
      <c r="C787" t="s">
        <v>294</v>
      </c>
      <c r="D787" t="s">
        <v>84</v>
      </c>
      <c r="E787">
        <v>1</v>
      </c>
      <c r="F787">
        <v>0</v>
      </c>
      <c r="G787" cm="1">
        <f t="array" ref="G787">SALESTABLE[[#This Row],[Quantity]]*_xlfn.XLOOKUP(SALESTABLE[[#This Row],[Product_ID]],ProductsTable[Product_ID],ProductsTable[Unit_Price],WAASIU,0,1)</f>
        <v>268.89999999999998</v>
      </c>
      <c r="H787" cm="1">
        <f t="array" ref="H787">SALESTABLE[[#This Row],[Quantity]]*_xlfn.XLOOKUP(SALESTABLE[[#This Row],[Product_ID]],ProductsTable[Product_ID],ProductsTable[Cost_Price],WAASIU,0,1)</f>
        <v>155.86000000000001</v>
      </c>
      <c r="I787">
        <f>SALESTABLE[[#This Row],[Revenue]]-SALESTABLE[[#This Row],[COST]]</f>
        <v>113.03999999999996</v>
      </c>
      <c r="J787">
        <f>SALESTABLE[[#This Row],[PROFIT]]/SALESTABLE[[#This Row],[Revenue]]*100</f>
        <v>42.037932316846401</v>
      </c>
    </row>
    <row r="788" spans="1:10" x14ac:dyDescent="0.35">
      <c r="A788" t="s">
        <v>922</v>
      </c>
      <c r="B788" s="4">
        <v>45374</v>
      </c>
      <c r="C788" t="s">
        <v>154</v>
      </c>
      <c r="D788" t="s">
        <v>25</v>
      </c>
      <c r="E788">
        <v>9</v>
      </c>
      <c r="F788">
        <v>20</v>
      </c>
      <c r="G788" cm="1">
        <f t="array" ref="G788">SALESTABLE[[#This Row],[Quantity]]*_xlfn.XLOOKUP(SALESTABLE[[#This Row],[Product_ID]],ProductsTable[Product_ID],ProductsTable[Unit_Price],WAASIU,0,1)</f>
        <v>1599.84</v>
      </c>
      <c r="H788" cm="1">
        <f t="array" ref="H788">SALESTABLE[[#This Row],[Quantity]]*_xlfn.XLOOKUP(SALESTABLE[[#This Row],[Product_ID]],ProductsTable[Product_ID],ProductsTable[Cost_Price],WAASIU,0,1)</f>
        <v>826.92</v>
      </c>
      <c r="I788">
        <f>SALESTABLE[[#This Row],[Revenue]]-SALESTABLE[[#This Row],[COST]]</f>
        <v>772.92</v>
      </c>
      <c r="J788">
        <f>SALESTABLE[[#This Row],[PROFIT]]/SALESTABLE[[#This Row],[Revenue]]*100</f>
        <v>48.312331233123309</v>
      </c>
    </row>
    <row r="789" spans="1:10" x14ac:dyDescent="0.35">
      <c r="A789" t="s">
        <v>923</v>
      </c>
      <c r="B789" s="4">
        <v>45061</v>
      </c>
      <c r="C789" t="s">
        <v>306</v>
      </c>
      <c r="D789" t="s">
        <v>139</v>
      </c>
      <c r="E789">
        <v>8</v>
      </c>
      <c r="F789">
        <v>15</v>
      </c>
      <c r="G789" cm="1">
        <f t="array" ref="G789">SALESTABLE[[#This Row],[Quantity]]*_xlfn.XLOOKUP(SALESTABLE[[#This Row],[Product_ID]],ProductsTable[Product_ID],ProductsTable[Unit_Price],WAASIU,0,1)</f>
        <v>3656.88</v>
      </c>
      <c r="H789" cm="1">
        <f t="array" ref="H789">SALESTABLE[[#This Row],[Quantity]]*_xlfn.XLOOKUP(SALESTABLE[[#This Row],[Product_ID]],ProductsTable[Product_ID],ProductsTable[Cost_Price],WAASIU,0,1)</f>
        <v>2620.16</v>
      </c>
      <c r="I789">
        <f>SALESTABLE[[#This Row],[Revenue]]-SALESTABLE[[#This Row],[COST]]</f>
        <v>1036.7200000000003</v>
      </c>
      <c r="J789">
        <f>SALESTABLE[[#This Row],[PROFIT]]/SALESTABLE[[#This Row],[Revenue]]*100</f>
        <v>28.349850145479209</v>
      </c>
    </row>
    <row r="790" spans="1:10" x14ac:dyDescent="0.35">
      <c r="A790" t="s">
        <v>924</v>
      </c>
      <c r="B790" s="4">
        <v>45632</v>
      </c>
      <c r="C790" t="s">
        <v>144</v>
      </c>
      <c r="D790" t="s">
        <v>100</v>
      </c>
      <c r="E790">
        <v>5</v>
      </c>
      <c r="F790">
        <v>0</v>
      </c>
      <c r="G790" cm="1">
        <f t="array" ref="G790">SALESTABLE[[#This Row],[Quantity]]*_xlfn.XLOOKUP(SALESTABLE[[#This Row],[Product_ID]],ProductsTable[Product_ID],ProductsTable[Unit_Price],WAASIU,0,1)</f>
        <v>2046.6</v>
      </c>
      <c r="H790" cm="1">
        <f t="array" ref="H790">SALESTABLE[[#This Row],[Quantity]]*_xlfn.XLOOKUP(SALESTABLE[[#This Row],[Product_ID]],ProductsTable[Product_ID],ProductsTable[Cost_Price],WAASIU,0,1)</f>
        <v>1063.25</v>
      </c>
      <c r="I790">
        <f>SALESTABLE[[#This Row],[Revenue]]-SALESTABLE[[#This Row],[COST]]</f>
        <v>983.34999999999991</v>
      </c>
      <c r="J790">
        <f>SALESTABLE[[#This Row],[PROFIT]]/SALESTABLE[[#This Row],[Revenue]]*100</f>
        <v>48.047982018958265</v>
      </c>
    </row>
    <row r="791" spans="1:10" x14ac:dyDescent="0.35">
      <c r="A791" t="s">
        <v>925</v>
      </c>
      <c r="B791" s="4">
        <v>45649</v>
      </c>
      <c r="C791" t="s">
        <v>229</v>
      </c>
      <c r="D791" t="s">
        <v>248</v>
      </c>
      <c r="E791">
        <v>13</v>
      </c>
      <c r="F791">
        <v>10</v>
      </c>
      <c r="G791" cm="1">
        <f t="array" ref="G791">SALESTABLE[[#This Row],[Quantity]]*_xlfn.XLOOKUP(SALESTABLE[[#This Row],[Product_ID]],ProductsTable[Product_ID],ProductsTable[Unit_Price],WAASIU,0,1)</f>
        <v>2427.23</v>
      </c>
      <c r="H791" cm="1">
        <f t="array" ref="H791">SALESTABLE[[#This Row],[Quantity]]*_xlfn.XLOOKUP(SALESTABLE[[#This Row],[Product_ID]],ProductsTable[Product_ID],ProductsTable[Cost_Price],WAASIU,0,1)</f>
        <v>1627.47</v>
      </c>
      <c r="I791">
        <f>SALESTABLE[[#This Row],[Revenue]]-SALESTABLE[[#This Row],[COST]]</f>
        <v>799.76</v>
      </c>
      <c r="J791">
        <f>SALESTABLE[[#This Row],[PROFIT]]/SALESTABLE[[#This Row],[Revenue]]*100</f>
        <v>32.949493867495043</v>
      </c>
    </row>
    <row r="792" spans="1:10" x14ac:dyDescent="0.35">
      <c r="A792" t="s">
        <v>926</v>
      </c>
      <c r="B792" s="4">
        <v>45156</v>
      </c>
      <c r="C792" t="s">
        <v>36</v>
      </c>
      <c r="D792" t="s">
        <v>107</v>
      </c>
      <c r="E792">
        <v>16</v>
      </c>
      <c r="F792">
        <v>0</v>
      </c>
      <c r="G792" cm="1">
        <f t="array" ref="G792">SALESTABLE[[#This Row],[Quantity]]*_xlfn.XLOOKUP(SALESTABLE[[#This Row],[Product_ID]],ProductsTable[Product_ID],ProductsTable[Unit_Price],WAASIU,0,1)</f>
        <v>1040.1600000000001</v>
      </c>
      <c r="H792" cm="1">
        <f t="array" ref="H792">SALESTABLE[[#This Row],[Quantity]]*_xlfn.XLOOKUP(SALESTABLE[[#This Row],[Product_ID]],ProductsTable[Product_ID],ProductsTable[Cost_Price],WAASIU,0,1)</f>
        <v>589.28</v>
      </c>
      <c r="I792">
        <f>SALESTABLE[[#This Row],[Revenue]]-SALESTABLE[[#This Row],[COST]]</f>
        <v>450.88000000000011</v>
      </c>
      <c r="J792">
        <f>SALESTABLE[[#This Row],[PROFIT]]/SALESTABLE[[#This Row],[Revenue]]*100</f>
        <v>43.347177357329649</v>
      </c>
    </row>
    <row r="793" spans="1:10" x14ac:dyDescent="0.35">
      <c r="A793" t="s">
        <v>927</v>
      </c>
      <c r="B793" s="4">
        <v>45121</v>
      </c>
      <c r="C793" t="s">
        <v>177</v>
      </c>
      <c r="D793" t="s">
        <v>107</v>
      </c>
      <c r="E793">
        <v>5</v>
      </c>
      <c r="F793">
        <v>20</v>
      </c>
      <c r="G793" cm="1">
        <f t="array" ref="G793">SALESTABLE[[#This Row],[Quantity]]*_xlfn.XLOOKUP(SALESTABLE[[#This Row],[Product_ID]],ProductsTable[Product_ID],ProductsTable[Unit_Price],WAASIU,0,1)</f>
        <v>325.05</v>
      </c>
      <c r="H793" cm="1">
        <f t="array" ref="H793">SALESTABLE[[#This Row],[Quantity]]*_xlfn.XLOOKUP(SALESTABLE[[#This Row],[Product_ID]],ProductsTable[Product_ID],ProductsTable[Cost_Price],WAASIU,0,1)</f>
        <v>184.14999999999998</v>
      </c>
      <c r="I793">
        <f>SALESTABLE[[#This Row],[Revenue]]-SALESTABLE[[#This Row],[COST]]</f>
        <v>140.90000000000003</v>
      </c>
      <c r="J793">
        <f>SALESTABLE[[#This Row],[PROFIT]]/SALESTABLE[[#This Row],[Revenue]]*100</f>
        <v>43.347177357329656</v>
      </c>
    </row>
    <row r="794" spans="1:10" x14ac:dyDescent="0.35">
      <c r="A794" t="s">
        <v>928</v>
      </c>
      <c r="B794" s="4">
        <v>44936</v>
      </c>
      <c r="C794" t="s">
        <v>33</v>
      </c>
      <c r="D794" t="s">
        <v>41</v>
      </c>
      <c r="E794">
        <v>7</v>
      </c>
      <c r="F794">
        <v>15</v>
      </c>
      <c r="G794" cm="1">
        <f t="array" ref="G794">SALESTABLE[[#This Row],[Quantity]]*_xlfn.XLOOKUP(SALESTABLE[[#This Row],[Product_ID]],ProductsTable[Product_ID],ProductsTable[Unit_Price],WAASIU,0,1)</f>
        <v>2980.25</v>
      </c>
      <c r="H794" cm="1">
        <f t="array" ref="H794">SALESTABLE[[#This Row],[Quantity]]*_xlfn.XLOOKUP(SALESTABLE[[#This Row],[Product_ID]],ProductsTable[Product_ID],ProductsTable[Cost_Price],WAASIU,0,1)</f>
        <v>1701.9099999999999</v>
      </c>
      <c r="I794">
        <f>SALESTABLE[[#This Row],[Revenue]]-SALESTABLE[[#This Row],[COST]]</f>
        <v>1278.3400000000001</v>
      </c>
      <c r="J794">
        <f>SALESTABLE[[#This Row],[PROFIT]]/SALESTABLE[[#This Row],[Revenue]]*100</f>
        <v>42.89371697005285</v>
      </c>
    </row>
    <row r="795" spans="1:10" x14ac:dyDescent="0.35">
      <c r="A795" t="s">
        <v>929</v>
      </c>
      <c r="B795" s="4">
        <v>45604</v>
      </c>
      <c r="C795" t="s">
        <v>209</v>
      </c>
      <c r="D795" t="s">
        <v>139</v>
      </c>
      <c r="E795">
        <v>1</v>
      </c>
      <c r="F795">
        <v>15</v>
      </c>
      <c r="G795" cm="1">
        <f t="array" ref="G795">SALESTABLE[[#This Row],[Quantity]]*_xlfn.XLOOKUP(SALESTABLE[[#This Row],[Product_ID]],ProductsTable[Product_ID],ProductsTable[Unit_Price],WAASIU,0,1)</f>
        <v>457.11</v>
      </c>
      <c r="H795" cm="1">
        <f t="array" ref="H795">SALESTABLE[[#This Row],[Quantity]]*_xlfn.XLOOKUP(SALESTABLE[[#This Row],[Product_ID]],ProductsTable[Product_ID],ProductsTable[Cost_Price],WAASIU,0,1)</f>
        <v>327.52</v>
      </c>
      <c r="I795">
        <f>SALESTABLE[[#This Row],[Revenue]]-SALESTABLE[[#This Row],[COST]]</f>
        <v>129.59000000000003</v>
      </c>
      <c r="J795">
        <f>SALESTABLE[[#This Row],[PROFIT]]/SALESTABLE[[#This Row],[Revenue]]*100</f>
        <v>28.349850145479209</v>
      </c>
    </row>
    <row r="796" spans="1:10" x14ac:dyDescent="0.35">
      <c r="A796" t="s">
        <v>930</v>
      </c>
      <c r="B796" s="4">
        <v>45115</v>
      </c>
      <c r="C796" t="s">
        <v>131</v>
      </c>
      <c r="D796" t="s">
        <v>139</v>
      </c>
      <c r="E796">
        <v>9</v>
      </c>
      <c r="F796">
        <v>20</v>
      </c>
      <c r="G796" cm="1">
        <f t="array" ref="G796">SALESTABLE[[#This Row],[Quantity]]*_xlfn.XLOOKUP(SALESTABLE[[#This Row],[Product_ID]],ProductsTable[Product_ID],ProductsTable[Unit_Price],WAASIU,0,1)</f>
        <v>4113.99</v>
      </c>
      <c r="H796" cm="1">
        <f t="array" ref="H796">SALESTABLE[[#This Row],[Quantity]]*_xlfn.XLOOKUP(SALESTABLE[[#This Row],[Product_ID]],ProductsTable[Product_ID],ProductsTable[Cost_Price],WAASIU,0,1)</f>
        <v>2947.68</v>
      </c>
      <c r="I796">
        <f>SALESTABLE[[#This Row],[Revenue]]-SALESTABLE[[#This Row],[COST]]</f>
        <v>1166.31</v>
      </c>
      <c r="J796">
        <f>SALESTABLE[[#This Row],[PROFIT]]/SALESTABLE[[#This Row],[Revenue]]*100</f>
        <v>28.349850145479206</v>
      </c>
    </row>
    <row r="797" spans="1:10" x14ac:dyDescent="0.35">
      <c r="A797" t="s">
        <v>931</v>
      </c>
      <c r="B797" s="4">
        <v>45195</v>
      </c>
      <c r="C797" t="s">
        <v>71</v>
      </c>
      <c r="D797" t="s">
        <v>52</v>
      </c>
      <c r="E797">
        <v>5</v>
      </c>
      <c r="F797">
        <v>0</v>
      </c>
      <c r="G797" cm="1">
        <f t="array" ref="G797">SALESTABLE[[#This Row],[Quantity]]*_xlfn.XLOOKUP(SALESTABLE[[#This Row],[Product_ID]],ProductsTable[Product_ID],ProductsTable[Unit_Price],WAASIU,0,1)</f>
        <v>918.9</v>
      </c>
      <c r="H797" cm="1">
        <f t="array" ref="H797">SALESTABLE[[#This Row],[Quantity]]*_xlfn.XLOOKUP(SALESTABLE[[#This Row],[Product_ID]],ProductsTable[Product_ID],ProductsTable[Cost_Price],WAASIU,0,1)</f>
        <v>578.15</v>
      </c>
      <c r="I797">
        <f>SALESTABLE[[#This Row],[Revenue]]-SALESTABLE[[#This Row],[COST]]</f>
        <v>340.75</v>
      </c>
      <c r="J797">
        <f>SALESTABLE[[#This Row],[PROFIT]]/SALESTABLE[[#This Row],[Revenue]]*100</f>
        <v>37.082381107846338</v>
      </c>
    </row>
    <row r="798" spans="1:10" x14ac:dyDescent="0.35">
      <c r="A798" t="s">
        <v>932</v>
      </c>
      <c r="B798" s="4">
        <v>45266</v>
      </c>
      <c r="C798" t="s">
        <v>96</v>
      </c>
      <c r="D798" t="s">
        <v>13</v>
      </c>
      <c r="E798">
        <v>17</v>
      </c>
      <c r="F798">
        <v>15</v>
      </c>
      <c r="G798" cm="1">
        <f t="array" ref="G798">SALESTABLE[[#This Row],[Quantity]]*_xlfn.XLOOKUP(SALESTABLE[[#This Row],[Product_ID]],ProductsTable[Product_ID],ProductsTable[Unit_Price],WAASIU,0,1)</f>
        <v>7398.06</v>
      </c>
      <c r="H798" cm="1">
        <f t="array" ref="H798">SALESTABLE[[#This Row],[Quantity]]*_xlfn.XLOOKUP(SALESTABLE[[#This Row],[Product_ID]],ProductsTable[Product_ID],ProductsTable[Cost_Price],WAASIU,0,1)</f>
        <v>3926.1499999999996</v>
      </c>
      <c r="I798">
        <f>SALESTABLE[[#This Row],[Revenue]]-SALESTABLE[[#This Row],[COST]]</f>
        <v>3471.9100000000008</v>
      </c>
      <c r="J798">
        <f>SALESTABLE[[#This Row],[PROFIT]]/SALESTABLE[[#This Row],[Revenue]]*100</f>
        <v>46.930005974539277</v>
      </c>
    </row>
    <row r="799" spans="1:10" x14ac:dyDescent="0.35">
      <c r="A799" t="s">
        <v>933</v>
      </c>
      <c r="B799" s="4">
        <v>45345</v>
      </c>
      <c r="C799" t="s">
        <v>229</v>
      </c>
      <c r="D799" t="s">
        <v>11</v>
      </c>
      <c r="E799">
        <v>10</v>
      </c>
      <c r="F799">
        <v>5</v>
      </c>
      <c r="G799" cm="1">
        <f t="array" ref="G799">SALESTABLE[[#This Row],[Quantity]]*_xlfn.XLOOKUP(SALESTABLE[[#This Row],[Product_ID]],ProductsTable[Product_ID],ProductsTable[Unit_Price],WAASIU,0,1)</f>
        <v>4772.7</v>
      </c>
      <c r="H799" cm="1">
        <f t="array" ref="H799">SALESTABLE[[#This Row],[Quantity]]*_xlfn.XLOOKUP(SALESTABLE[[#This Row],[Product_ID]],ProductsTable[Product_ID],ProductsTable[Cost_Price],WAASIU,0,1)</f>
        <v>2988.3999999999996</v>
      </c>
      <c r="I799">
        <f>SALESTABLE[[#This Row],[Revenue]]-SALESTABLE[[#This Row],[COST]]</f>
        <v>1784.3000000000002</v>
      </c>
      <c r="J799">
        <f>SALESTABLE[[#This Row],[PROFIT]]/SALESTABLE[[#This Row],[Revenue]]*100</f>
        <v>37.385546965030279</v>
      </c>
    </row>
    <row r="800" spans="1:10" x14ac:dyDescent="0.35">
      <c r="A800" t="s">
        <v>934</v>
      </c>
      <c r="B800" s="4">
        <v>44958</v>
      </c>
      <c r="C800" t="s">
        <v>154</v>
      </c>
      <c r="D800" t="s">
        <v>127</v>
      </c>
      <c r="E800">
        <v>9</v>
      </c>
      <c r="F800">
        <v>10</v>
      </c>
      <c r="G800" cm="1">
        <f t="array" ref="G800">SALESTABLE[[#This Row],[Quantity]]*_xlfn.XLOOKUP(SALESTABLE[[#This Row],[Product_ID]],ProductsTable[Product_ID],ProductsTable[Unit_Price],WAASIU,0,1)</f>
        <v>828.62999999999988</v>
      </c>
      <c r="H800" cm="1">
        <f t="array" ref="H800">SALESTABLE[[#This Row],[Quantity]]*_xlfn.XLOOKUP(SALESTABLE[[#This Row],[Product_ID]],ProductsTable[Product_ID],ProductsTable[Cost_Price],WAASIU,0,1)</f>
        <v>507.24</v>
      </c>
      <c r="I800">
        <f>SALESTABLE[[#This Row],[Revenue]]-SALESTABLE[[#This Row],[COST]]</f>
        <v>321.38999999999987</v>
      </c>
      <c r="J800">
        <f>SALESTABLE[[#This Row],[PROFIT]]/SALESTABLE[[#This Row],[Revenue]]*100</f>
        <v>38.785706527641999</v>
      </c>
    </row>
    <row r="801" spans="1:10" x14ac:dyDescent="0.35">
      <c r="A801" t="s">
        <v>935</v>
      </c>
      <c r="B801" s="4">
        <v>45128</v>
      </c>
      <c r="C801" t="s">
        <v>156</v>
      </c>
      <c r="D801" t="s">
        <v>41</v>
      </c>
      <c r="E801">
        <v>8</v>
      </c>
      <c r="F801">
        <v>20</v>
      </c>
      <c r="G801" cm="1">
        <f t="array" ref="G801">SALESTABLE[[#This Row],[Quantity]]*_xlfn.XLOOKUP(SALESTABLE[[#This Row],[Product_ID]],ProductsTable[Product_ID],ProductsTable[Unit_Price],WAASIU,0,1)</f>
        <v>3406</v>
      </c>
      <c r="H801" cm="1">
        <f t="array" ref="H801">SALESTABLE[[#This Row],[Quantity]]*_xlfn.XLOOKUP(SALESTABLE[[#This Row],[Product_ID]],ProductsTable[Product_ID],ProductsTable[Cost_Price],WAASIU,0,1)</f>
        <v>1945.04</v>
      </c>
      <c r="I801">
        <f>SALESTABLE[[#This Row],[Revenue]]-SALESTABLE[[#This Row],[COST]]</f>
        <v>1460.96</v>
      </c>
      <c r="J801">
        <f>SALESTABLE[[#This Row],[PROFIT]]/SALESTABLE[[#This Row],[Revenue]]*100</f>
        <v>42.89371697005285</v>
      </c>
    </row>
    <row r="802" spans="1:10" x14ac:dyDescent="0.35">
      <c r="A802" t="s">
        <v>936</v>
      </c>
      <c r="B802" s="4">
        <v>45425</v>
      </c>
      <c r="C802" t="s">
        <v>156</v>
      </c>
      <c r="D802" t="s">
        <v>100</v>
      </c>
      <c r="E802">
        <v>5</v>
      </c>
      <c r="F802">
        <v>20</v>
      </c>
      <c r="G802" cm="1">
        <f t="array" ref="G802">SALESTABLE[[#This Row],[Quantity]]*_xlfn.XLOOKUP(SALESTABLE[[#This Row],[Product_ID]],ProductsTable[Product_ID],ProductsTable[Unit_Price],WAASIU,0,1)</f>
        <v>2046.6</v>
      </c>
      <c r="H802" cm="1">
        <f t="array" ref="H802">SALESTABLE[[#This Row],[Quantity]]*_xlfn.XLOOKUP(SALESTABLE[[#This Row],[Product_ID]],ProductsTable[Product_ID],ProductsTable[Cost_Price],WAASIU,0,1)</f>
        <v>1063.25</v>
      </c>
      <c r="I802">
        <f>SALESTABLE[[#This Row],[Revenue]]-SALESTABLE[[#This Row],[COST]]</f>
        <v>983.34999999999991</v>
      </c>
      <c r="J802">
        <f>SALESTABLE[[#This Row],[PROFIT]]/SALESTABLE[[#This Row],[Revenue]]*100</f>
        <v>48.047982018958265</v>
      </c>
    </row>
    <row r="803" spans="1:10" x14ac:dyDescent="0.35">
      <c r="A803" t="s">
        <v>937</v>
      </c>
      <c r="B803" s="4">
        <v>45576</v>
      </c>
      <c r="C803" t="s">
        <v>106</v>
      </c>
      <c r="D803" t="s">
        <v>84</v>
      </c>
      <c r="E803">
        <v>8</v>
      </c>
      <c r="F803">
        <v>15</v>
      </c>
      <c r="G803" cm="1">
        <f t="array" ref="G803">SALESTABLE[[#This Row],[Quantity]]*_xlfn.XLOOKUP(SALESTABLE[[#This Row],[Product_ID]],ProductsTable[Product_ID],ProductsTable[Unit_Price],WAASIU,0,1)</f>
        <v>2151.1999999999998</v>
      </c>
      <c r="H803" cm="1">
        <f t="array" ref="H803">SALESTABLE[[#This Row],[Quantity]]*_xlfn.XLOOKUP(SALESTABLE[[#This Row],[Product_ID]],ProductsTable[Product_ID],ProductsTable[Cost_Price],WAASIU,0,1)</f>
        <v>1246.8800000000001</v>
      </c>
      <c r="I803">
        <f>SALESTABLE[[#This Row],[Revenue]]-SALESTABLE[[#This Row],[COST]]</f>
        <v>904.31999999999971</v>
      </c>
      <c r="J803">
        <f>SALESTABLE[[#This Row],[PROFIT]]/SALESTABLE[[#This Row],[Revenue]]*100</f>
        <v>42.037932316846401</v>
      </c>
    </row>
    <row r="804" spans="1:10" x14ac:dyDescent="0.35">
      <c r="A804" t="s">
        <v>938</v>
      </c>
      <c r="B804" s="4">
        <v>45272</v>
      </c>
      <c r="C804" t="s">
        <v>311</v>
      </c>
      <c r="D804" t="s">
        <v>74</v>
      </c>
      <c r="E804">
        <v>18</v>
      </c>
      <c r="F804">
        <v>0</v>
      </c>
      <c r="G804" cm="1">
        <f t="array" ref="G804">SALESTABLE[[#This Row],[Quantity]]*_xlfn.XLOOKUP(SALESTABLE[[#This Row],[Product_ID]],ProductsTable[Product_ID],ProductsTable[Unit_Price],WAASIU,0,1)</f>
        <v>774</v>
      </c>
      <c r="H804" cm="1">
        <f t="array" ref="H804">SALESTABLE[[#This Row],[Quantity]]*_xlfn.XLOOKUP(SALESTABLE[[#This Row],[Product_ID]],ProductsTable[Product_ID],ProductsTable[Cost_Price],WAASIU,0,1)</f>
        <v>540.9</v>
      </c>
      <c r="I804">
        <f>SALESTABLE[[#This Row],[Revenue]]-SALESTABLE[[#This Row],[COST]]</f>
        <v>233.10000000000002</v>
      </c>
      <c r="J804">
        <f>SALESTABLE[[#This Row],[PROFIT]]/SALESTABLE[[#This Row],[Revenue]]*100</f>
        <v>30.116279069767444</v>
      </c>
    </row>
    <row r="805" spans="1:10" x14ac:dyDescent="0.35">
      <c r="A805" t="s">
        <v>939</v>
      </c>
      <c r="B805" s="4">
        <v>45051</v>
      </c>
      <c r="C805" t="s">
        <v>102</v>
      </c>
      <c r="D805" t="s">
        <v>57</v>
      </c>
      <c r="E805">
        <v>3</v>
      </c>
      <c r="F805">
        <v>0</v>
      </c>
      <c r="G805" cm="1">
        <f t="array" ref="G805">SALESTABLE[[#This Row],[Quantity]]*_xlfn.XLOOKUP(SALESTABLE[[#This Row],[Product_ID]],ProductsTable[Product_ID],ProductsTable[Unit_Price],WAASIU,0,1)</f>
        <v>476.49</v>
      </c>
      <c r="H805" cm="1">
        <f t="array" ref="H805">SALESTABLE[[#This Row],[Quantity]]*_xlfn.XLOOKUP(SALESTABLE[[#This Row],[Product_ID]],ProductsTable[Product_ID],ProductsTable[Cost_Price],WAASIU,0,1)</f>
        <v>380.82</v>
      </c>
      <c r="I805">
        <f>SALESTABLE[[#This Row],[Revenue]]-SALESTABLE[[#This Row],[COST]]</f>
        <v>95.670000000000016</v>
      </c>
      <c r="J805">
        <f>SALESTABLE[[#This Row],[PROFIT]]/SALESTABLE[[#This Row],[Revenue]]*100</f>
        <v>20.078070893408047</v>
      </c>
    </row>
    <row r="806" spans="1:10" x14ac:dyDescent="0.35">
      <c r="A806" t="s">
        <v>940</v>
      </c>
      <c r="B806" s="4">
        <v>45413</v>
      </c>
      <c r="C806" t="s">
        <v>90</v>
      </c>
      <c r="D806" t="s">
        <v>127</v>
      </c>
      <c r="E806">
        <v>9</v>
      </c>
      <c r="F806">
        <v>10</v>
      </c>
      <c r="G806" cm="1">
        <f t="array" ref="G806">SALESTABLE[[#This Row],[Quantity]]*_xlfn.XLOOKUP(SALESTABLE[[#This Row],[Product_ID]],ProductsTable[Product_ID],ProductsTable[Unit_Price],WAASIU,0,1)</f>
        <v>828.62999999999988</v>
      </c>
      <c r="H806" cm="1">
        <f t="array" ref="H806">SALESTABLE[[#This Row],[Quantity]]*_xlfn.XLOOKUP(SALESTABLE[[#This Row],[Product_ID]],ProductsTable[Product_ID],ProductsTable[Cost_Price],WAASIU,0,1)</f>
        <v>507.24</v>
      </c>
      <c r="I806">
        <f>SALESTABLE[[#This Row],[Revenue]]-SALESTABLE[[#This Row],[COST]]</f>
        <v>321.38999999999987</v>
      </c>
      <c r="J806">
        <f>SALESTABLE[[#This Row],[PROFIT]]/SALESTABLE[[#This Row],[Revenue]]*100</f>
        <v>38.785706527641999</v>
      </c>
    </row>
    <row r="807" spans="1:10" x14ac:dyDescent="0.35">
      <c r="A807" t="s">
        <v>941</v>
      </c>
      <c r="B807" s="4">
        <v>45258</v>
      </c>
      <c r="C807" t="s">
        <v>575</v>
      </c>
      <c r="D807" t="s">
        <v>8</v>
      </c>
      <c r="E807">
        <v>9</v>
      </c>
      <c r="F807">
        <v>10</v>
      </c>
      <c r="G807" cm="1">
        <f t="array" ref="G807">SALESTABLE[[#This Row],[Quantity]]*_xlfn.XLOOKUP(SALESTABLE[[#This Row],[Product_ID]],ProductsTable[Product_ID],ProductsTable[Unit_Price],WAASIU,0,1)</f>
        <v>3026.88</v>
      </c>
      <c r="H807" cm="1">
        <f t="array" ref="H807">SALESTABLE[[#This Row],[Quantity]]*_xlfn.XLOOKUP(SALESTABLE[[#This Row],[Product_ID]],ProductsTable[Product_ID],ProductsTable[Cost_Price],WAASIU,0,1)</f>
        <v>2050.02</v>
      </c>
      <c r="I807">
        <f>SALESTABLE[[#This Row],[Revenue]]-SALESTABLE[[#This Row],[COST]]</f>
        <v>976.86000000000013</v>
      </c>
      <c r="J807">
        <f>SALESTABLE[[#This Row],[PROFIT]]/SALESTABLE[[#This Row],[Revenue]]*100</f>
        <v>32.272835394862035</v>
      </c>
    </row>
    <row r="808" spans="1:10" x14ac:dyDescent="0.35">
      <c r="A808" t="s">
        <v>942</v>
      </c>
      <c r="B808" s="4">
        <v>45332</v>
      </c>
      <c r="C808" t="s">
        <v>83</v>
      </c>
      <c r="D808" t="s">
        <v>110</v>
      </c>
      <c r="E808">
        <v>12</v>
      </c>
      <c r="F808">
        <v>0</v>
      </c>
      <c r="G808" cm="1">
        <f t="array" ref="G808">SALESTABLE[[#This Row],[Quantity]]*_xlfn.XLOOKUP(SALESTABLE[[#This Row],[Product_ID]],ProductsTable[Product_ID],ProductsTable[Unit_Price],WAASIU,0,1)</f>
        <v>5895.84</v>
      </c>
      <c r="H808" cm="1">
        <f t="array" ref="H808">SALESTABLE[[#This Row],[Quantity]]*_xlfn.XLOOKUP(SALESTABLE[[#This Row],[Product_ID]],ProductsTable[Product_ID],ProductsTable[Cost_Price],WAASIU,0,1)</f>
        <v>3217.32</v>
      </c>
      <c r="I808">
        <f>SALESTABLE[[#This Row],[Revenue]]-SALESTABLE[[#This Row],[COST]]</f>
        <v>2678.52</v>
      </c>
      <c r="J808">
        <f>SALESTABLE[[#This Row],[PROFIT]]/SALESTABLE[[#This Row],[Revenue]]*100</f>
        <v>45.430676544818041</v>
      </c>
    </row>
    <row r="809" spans="1:10" x14ac:dyDescent="0.35">
      <c r="A809" t="s">
        <v>943</v>
      </c>
      <c r="B809" s="4">
        <v>45344</v>
      </c>
      <c r="C809" t="s">
        <v>40</v>
      </c>
      <c r="D809" t="s">
        <v>100</v>
      </c>
      <c r="E809">
        <v>17</v>
      </c>
      <c r="F809">
        <v>10</v>
      </c>
      <c r="G809" cm="1">
        <f t="array" ref="G809">SALESTABLE[[#This Row],[Quantity]]*_xlfn.XLOOKUP(SALESTABLE[[#This Row],[Product_ID]],ProductsTable[Product_ID],ProductsTable[Unit_Price],WAASIU,0,1)</f>
        <v>6958.44</v>
      </c>
      <c r="H809" cm="1">
        <f t="array" ref="H809">SALESTABLE[[#This Row],[Quantity]]*_xlfn.XLOOKUP(SALESTABLE[[#This Row],[Product_ID]],ProductsTable[Product_ID],ProductsTable[Cost_Price],WAASIU,0,1)</f>
        <v>3615.05</v>
      </c>
      <c r="I809">
        <f>SALESTABLE[[#This Row],[Revenue]]-SALESTABLE[[#This Row],[COST]]</f>
        <v>3343.3899999999994</v>
      </c>
      <c r="J809">
        <f>SALESTABLE[[#This Row],[PROFIT]]/SALESTABLE[[#This Row],[Revenue]]*100</f>
        <v>48.047982018958265</v>
      </c>
    </row>
    <row r="810" spans="1:10" x14ac:dyDescent="0.35">
      <c r="A810" t="s">
        <v>944</v>
      </c>
      <c r="B810" s="4">
        <v>45570</v>
      </c>
      <c r="C810" t="s">
        <v>15</v>
      </c>
      <c r="D810" t="s">
        <v>107</v>
      </c>
      <c r="E810">
        <v>16</v>
      </c>
      <c r="F810">
        <v>0</v>
      </c>
      <c r="G810" cm="1">
        <f t="array" ref="G810">SALESTABLE[[#This Row],[Quantity]]*_xlfn.XLOOKUP(SALESTABLE[[#This Row],[Product_ID]],ProductsTable[Product_ID],ProductsTable[Unit_Price],WAASIU,0,1)</f>
        <v>1040.1600000000001</v>
      </c>
      <c r="H810" cm="1">
        <f t="array" ref="H810">SALESTABLE[[#This Row],[Quantity]]*_xlfn.XLOOKUP(SALESTABLE[[#This Row],[Product_ID]],ProductsTable[Product_ID],ProductsTable[Cost_Price],WAASIU,0,1)</f>
        <v>589.28</v>
      </c>
      <c r="I810">
        <f>SALESTABLE[[#This Row],[Revenue]]-SALESTABLE[[#This Row],[COST]]</f>
        <v>450.88000000000011</v>
      </c>
      <c r="J810">
        <f>SALESTABLE[[#This Row],[PROFIT]]/SALESTABLE[[#This Row],[Revenue]]*100</f>
        <v>43.347177357329649</v>
      </c>
    </row>
    <row r="811" spans="1:10" x14ac:dyDescent="0.35">
      <c r="A811" t="s">
        <v>945</v>
      </c>
      <c r="B811" s="4">
        <v>45433</v>
      </c>
      <c r="C811" t="s">
        <v>257</v>
      </c>
      <c r="D811" t="s">
        <v>8</v>
      </c>
      <c r="E811">
        <v>7</v>
      </c>
      <c r="F811">
        <v>10</v>
      </c>
      <c r="G811" cm="1">
        <f t="array" ref="G811">SALESTABLE[[#This Row],[Quantity]]*_xlfn.XLOOKUP(SALESTABLE[[#This Row],[Product_ID]],ProductsTable[Product_ID],ProductsTable[Unit_Price],WAASIU,0,1)</f>
        <v>2354.2399999999998</v>
      </c>
      <c r="H811" cm="1">
        <f t="array" ref="H811">SALESTABLE[[#This Row],[Quantity]]*_xlfn.XLOOKUP(SALESTABLE[[#This Row],[Product_ID]],ProductsTable[Product_ID],ProductsTable[Cost_Price],WAASIU,0,1)</f>
        <v>1594.46</v>
      </c>
      <c r="I811">
        <f>SALESTABLE[[#This Row],[Revenue]]-SALESTABLE[[#This Row],[COST]]</f>
        <v>759.77999999999975</v>
      </c>
      <c r="J811">
        <f>SALESTABLE[[#This Row],[PROFIT]]/SALESTABLE[[#This Row],[Revenue]]*100</f>
        <v>32.272835394862028</v>
      </c>
    </row>
    <row r="812" spans="1:10" x14ac:dyDescent="0.35">
      <c r="A812" t="s">
        <v>946</v>
      </c>
      <c r="B812" s="4">
        <v>45243</v>
      </c>
      <c r="C812" t="s">
        <v>79</v>
      </c>
      <c r="D812" t="s">
        <v>25</v>
      </c>
      <c r="E812">
        <v>4</v>
      </c>
      <c r="F812">
        <v>15</v>
      </c>
      <c r="G812" cm="1">
        <f t="array" ref="G812">SALESTABLE[[#This Row],[Quantity]]*_xlfn.XLOOKUP(SALESTABLE[[#This Row],[Product_ID]],ProductsTable[Product_ID],ProductsTable[Unit_Price],WAASIU,0,1)</f>
        <v>711.04</v>
      </c>
      <c r="H812" cm="1">
        <f t="array" ref="H812">SALESTABLE[[#This Row],[Quantity]]*_xlfn.XLOOKUP(SALESTABLE[[#This Row],[Product_ID]],ProductsTable[Product_ID],ProductsTable[Cost_Price],WAASIU,0,1)</f>
        <v>367.52</v>
      </c>
      <c r="I812">
        <f>SALESTABLE[[#This Row],[Revenue]]-SALESTABLE[[#This Row],[COST]]</f>
        <v>343.52</v>
      </c>
      <c r="J812">
        <f>SALESTABLE[[#This Row],[PROFIT]]/SALESTABLE[[#This Row],[Revenue]]*100</f>
        <v>48.312331233123309</v>
      </c>
    </row>
    <row r="813" spans="1:10" x14ac:dyDescent="0.35">
      <c r="A813" t="s">
        <v>947</v>
      </c>
      <c r="B813" s="4">
        <v>45329</v>
      </c>
      <c r="C813" t="s">
        <v>88</v>
      </c>
      <c r="D813" t="s">
        <v>16</v>
      </c>
      <c r="E813">
        <v>7</v>
      </c>
      <c r="F813">
        <v>10</v>
      </c>
      <c r="G813" cm="1">
        <f t="array" ref="G813">SALESTABLE[[#This Row],[Quantity]]*_xlfn.XLOOKUP(SALESTABLE[[#This Row],[Product_ID]],ProductsTable[Product_ID],ProductsTable[Unit_Price],WAASIU,0,1)</f>
        <v>2535.19</v>
      </c>
      <c r="H813" cm="1">
        <f t="array" ref="H813">SALESTABLE[[#This Row],[Quantity]]*_xlfn.XLOOKUP(SALESTABLE[[#This Row],[Product_ID]],ProductsTable[Product_ID],ProductsTable[Cost_Price],WAASIU,0,1)</f>
        <v>1633.6599999999999</v>
      </c>
      <c r="I813">
        <f>SALESTABLE[[#This Row],[Revenue]]-SALESTABLE[[#This Row],[COST]]</f>
        <v>901.5300000000002</v>
      </c>
      <c r="J813">
        <f>SALESTABLE[[#This Row],[PROFIT]]/SALESTABLE[[#This Row],[Revenue]]*100</f>
        <v>35.56064831432753</v>
      </c>
    </row>
    <row r="814" spans="1:10" x14ac:dyDescent="0.35">
      <c r="A814" t="s">
        <v>948</v>
      </c>
      <c r="B814" s="4">
        <v>45339</v>
      </c>
      <c r="C814" t="s">
        <v>161</v>
      </c>
      <c r="D814" t="s">
        <v>44</v>
      </c>
      <c r="E814">
        <v>3</v>
      </c>
      <c r="F814">
        <v>0</v>
      </c>
      <c r="G814" cm="1">
        <f t="array" ref="G814">SALESTABLE[[#This Row],[Quantity]]*_xlfn.XLOOKUP(SALESTABLE[[#This Row],[Product_ID]],ProductsTable[Product_ID],ProductsTable[Unit_Price],WAASIU,0,1)</f>
        <v>402.57</v>
      </c>
      <c r="H814" cm="1">
        <f t="array" ref="H814">SALESTABLE[[#This Row],[Quantity]]*_xlfn.XLOOKUP(SALESTABLE[[#This Row],[Product_ID]],ProductsTable[Product_ID],ProductsTable[Cost_Price],WAASIU,0,1)</f>
        <v>249.95999999999998</v>
      </c>
      <c r="I814">
        <f>SALESTABLE[[#This Row],[Revenue]]-SALESTABLE[[#This Row],[COST]]</f>
        <v>152.61000000000001</v>
      </c>
      <c r="J814">
        <f>SALESTABLE[[#This Row],[PROFIT]]/SALESTABLE[[#This Row],[Revenue]]*100</f>
        <v>37.908935092033687</v>
      </c>
    </row>
    <row r="815" spans="1:10" x14ac:dyDescent="0.35">
      <c r="A815" t="s">
        <v>949</v>
      </c>
      <c r="B815" s="4">
        <v>45250</v>
      </c>
      <c r="C815" t="s">
        <v>392</v>
      </c>
      <c r="D815" t="s">
        <v>107</v>
      </c>
      <c r="E815">
        <v>8</v>
      </c>
      <c r="F815">
        <v>5</v>
      </c>
      <c r="G815" cm="1">
        <f t="array" ref="G815">SALESTABLE[[#This Row],[Quantity]]*_xlfn.XLOOKUP(SALESTABLE[[#This Row],[Product_ID]],ProductsTable[Product_ID],ProductsTable[Unit_Price],WAASIU,0,1)</f>
        <v>520.08000000000004</v>
      </c>
      <c r="H815" cm="1">
        <f t="array" ref="H815">SALESTABLE[[#This Row],[Quantity]]*_xlfn.XLOOKUP(SALESTABLE[[#This Row],[Product_ID]],ProductsTable[Product_ID],ProductsTable[Cost_Price],WAASIU,0,1)</f>
        <v>294.64</v>
      </c>
      <c r="I815">
        <f>SALESTABLE[[#This Row],[Revenue]]-SALESTABLE[[#This Row],[COST]]</f>
        <v>225.44000000000005</v>
      </c>
      <c r="J815">
        <f>SALESTABLE[[#This Row],[PROFIT]]/SALESTABLE[[#This Row],[Revenue]]*100</f>
        <v>43.347177357329649</v>
      </c>
    </row>
    <row r="816" spans="1:10" x14ac:dyDescent="0.35">
      <c r="A816" t="s">
        <v>950</v>
      </c>
      <c r="B816" s="4">
        <v>45652</v>
      </c>
      <c r="C816" t="s">
        <v>297</v>
      </c>
      <c r="D816" t="s">
        <v>19</v>
      </c>
      <c r="E816">
        <v>9</v>
      </c>
      <c r="F816">
        <v>15</v>
      </c>
      <c r="G816" cm="1">
        <f t="array" ref="G816">SALESTABLE[[#This Row],[Quantity]]*_xlfn.XLOOKUP(SALESTABLE[[#This Row],[Product_ID]],ProductsTable[Product_ID],ProductsTable[Unit_Price],WAASIU,0,1)</f>
        <v>546.84</v>
      </c>
      <c r="H816" cm="1">
        <f t="array" ref="H816">SALESTABLE[[#This Row],[Quantity]]*_xlfn.XLOOKUP(SALESTABLE[[#This Row],[Product_ID]],ProductsTable[Product_ID],ProductsTable[Cost_Price],WAASIU,0,1)</f>
        <v>364.05</v>
      </c>
      <c r="I816">
        <f>SALESTABLE[[#This Row],[Revenue]]-SALESTABLE[[#This Row],[COST]]</f>
        <v>182.79000000000002</v>
      </c>
      <c r="J816">
        <f>SALESTABLE[[#This Row],[PROFIT]]/SALESTABLE[[#This Row],[Revenue]]*100</f>
        <v>33.426596445029624</v>
      </c>
    </row>
    <row r="817" spans="1:10" x14ac:dyDescent="0.35">
      <c r="A817" t="s">
        <v>951</v>
      </c>
      <c r="B817" s="4">
        <v>45555</v>
      </c>
      <c r="C817" t="s">
        <v>102</v>
      </c>
      <c r="D817" t="s">
        <v>25</v>
      </c>
      <c r="E817">
        <v>1</v>
      </c>
      <c r="F817">
        <v>20</v>
      </c>
      <c r="G817" cm="1">
        <f t="array" ref="G817">SALESTABLE[[#This Row],[Quantity]]*_xlfn.XLOOKUP(SALESTABLE[[#This Row],[Product_ID]],ProductsTable[Product_ID],ProductsTable[Unit_Price],WAASIU,0,1)</f>
        <v>177.76</v>
      </c>
      <c r="H817" cm="1">
        <f t="array" ref="H817">SALESTABLE[[#This Row],[Quantity]]*_xlfn.XLOOKUP(SALESTABLE[[#This Row],[Product_ID]],ProductsTable[Product_ID],ProductsTable[Cost_Price],WAASIU,0,1)</f>
        <v>91.88</v>
      </c>
      <c r="I817">
        <f>SALESTABLE[[#This Row],[Revenue]]-SALESTABLE[[#This Row],[COST]]</f>
        <v>85.88</v>
      </c>
      <c r="J817">
        <f>SALESTABLE[[#This Row],[PROFIT]]/SALESTABLE[[#This Row],[Revenue]]*100</f>
        <v>48.312331233123309</v>
      </c>
    </row>
    <row r="818" spans="1:10" x14ac:dyDescent="0.35">
      <c r="A818" t="s">
        <v>952</v>
      </c>
      <c r="B818" s="4">
        <v>45127</v>
      </c>
      <c r="C818" t="s">
        <v>154</v>
      </c>
      <c r="D818" t="s">
        <v>57</v>
      </c>
      <c r="E818">
        <v>15</v>
      </c>
      <c r="F818">
        <v>0</v>
      </c>
      <c r="G818" cm="1">
        <f t="array" ref="G818">SALESTABLE[[#This Row],[Quantity]]*_xlfn.XLOOKUP(SALESTABLE[[#This Row],[Product_ID]],ProductsTable[Product_ID],ProductsTable[Unit_Price],WAASIU,0,1)</f>
        <v>2382.4500000000003</v>
      </c>
      <c r="H818" cm="1">
        <f t="array" ref="H818">SALESTABLE[[#This Row],[Quantity]]*_xlfn.XLOOKUP(SALESTABLE[[#This Row],[Product_ID]],ProductsTable[Product_ID],ProductsTable[Cost_Price],WAASIU,0,1)</f>
        <v>1904.1</v>
      </c>
      <c r="I818">
        <f>SALESTABLE[[#This Row],[Revenue]]-SALESTABLE[[#This Row],[COST]]</f>
        <v>478.35000000000036</v>
      </c>
      <c r="J818">
        <f>SALESTABLE[[#This Row],[PROFIT]]/SALESTABLE[[#This Row],[Revenue]]*100</f>
        <v>20.078070893408061</v>
      </c>
    </row>
    <row r="819" spans="1:10" x14ac:dyDescent="0.35">
      <c r="A819" t="s">
        <v>953</v>
      </c>
      <c r="B819" s="4">
        <v>45287</v>
      </c>
      <c r="C819" t="s">
        <v>131</v>
      </c>
      <c r="D819" t="s">
        <v>137</v>
      </c>
      <c r="E819">
        <v>5</v>
      </c>
      <c r="F819">
        <v>5</v>
      </c>
      <c r="G819" cm="1">
        <f t="array" ref="G819">SALESTABLE[[#This Row],[Quantity]]*_xlfn.XLOOKUP(SALESTABLE[[#This Row],[Product_ID]],ProductsTable[Product_ID],ProductsTable[Unit_Price],WAASIU,0,1)</f>
        <v>1817.2</v>
      </c>
      <c r="H819" cm="1">
        <f t="array" ref="H819">SALESTABLE[[#This Row],[Quantity]]*_xlfn.XLOOKUP(SALESTABLE[[#This Row],[Product_ID]],ProductsTable[Product_ID],ProductsTable[Cost_Price],WAASIU,0,1)</f>
        <v>1250.25</v>
      </c>
      <c r="I819">
        <f>SALESTABLE[[#This Row],[Revenue]]-SALESTABLE[[#This Row],[COST]]</f>
        <v>566.95000000000005</v>
      </c>
      <c r="J819">
        <f>SALESTABLE[[#This Row],[PROFIT]]/SALESTABLE[[#This Row],[Revenue]]*100</f>
        <v>31.199097512656838</v>
      </c>
    </row>
    <row r="820" spans="1:10" x14ac:dyDescent="0.35">
      <c r="A820" t="s">
        <v>954</v>
      </c>
      <c r="B820" s="4">
        <v>45167</v>
      </c>
      <c r="C820" t="s">
        <v>88</v>
      </c>
      <c r="D820" t="s">
        <v>16</v>
      </c>
      <c r="E820">
        <v>12</v>
      </c>
      <c r="F820">
        <v>20</v>
      </c>
      <c r="G820" cm="1">
        <f t="array" ref="G820">SALESTABLE[[#This Row],[Quantity]]*_xlfn.XLOOKUP(SALESTABLE[[#This Row],[Product_ID]],ProductsTable[Product_ID],ProductsTable[Unit_Price],WAASIU,0,1)</f>
        <v>4346.04</v>
      </c>
      <c r="H820" cm="1">
        <f t="array" ref="H820">SALESTABLE[[#This Row],[Quantity]]*_xlfn.XLOOKUP(SALESTABLE[[#This Row],[Product_ID]],ProductsTable[Product_ID],ProductsTable[Cost_Price],WAASIU,0,1)</f>
        <v>2800.56</v>
      </c>
      <c r="I820">
        <f>SALESTABLE[[#This Row],[Revenue]]-SALESTABLE[[#This Row],[COST]]</f>
        <v>1545.48</v>
      </c>
      <c r="J820">
        <f>SALESTABLE[[#This Row],[PROFIT]]/SALESTABLE[[#This Row],[Revenue]]*100</f>
        <v>35.560648314327523</v>
      </c>
    </row>
    <row r="821" spans="1:10" x14ac:dyDescent="0.35">
      <c r="A821" t="s">
        <v>955</v>
      </c>
      <c r="B821" s="4">
        <v>45205</v>
      </c>
      <c r="C821" t="s">
        <v>18</v>
      </c>
      <c r="D821" t="s">
        <v>113</v>
      </c>
      <c r="E821">
        <v>16</v>
      </c>
      <c r="F821">
        <v>0</v>
      </c>
      <c r="G821" cm="1">
        <f t="array" ref="G821">SALESTABLE[[#This Row],[Quantity]]*_xlfn.XLOOKUP(SALESTABLE[[#This Row],[Product_ID]],ProductsTable[Product_ID],ProductsTable[Unit_Price],WAASIU,0,1)</f>
        <v>5393.44</v>
      </c>
      <c r="H821" cm="1">
        <f t="array" ref="H821">SALESTABLE[[#This Row],[Quantity]]*_xlfn.XLOOKUP(SALESTABLE[[#This Row],[Product_ID]],ProductsTable[Product_ID],ProductsTable[Cost_Price],WAASIU,0,1)</f>
        <v>2982.56</v>
      </c>
      <c r="I821">
        <f>SALESTABLE[[#This Row],[Revenue]]-SALESTABLE[[#This Row],[COST]]</f>
        <v>2410.8799999999997</v>
      </c>
      <c r="J821">
        <f>SALESTABLE[[#This Row],[PROFIT]]/SALESTABLE[[#This Row],[Revenue]]*100</f>
        <v>44.700228425643004</v>
      </c>
    </row>
    <row r="822" spans="1:10" x14ac:dyDescent="0.35">
      <c r="A822" t="s">
        <v>956</v>
      </c>
      <c r="B822" s="4">
        <v>45341</v>
      </c>
      <c r="C822" t="s">
        <v>118</v>
      </c>
      <c r="D822" t="s">
        <v>248</v>
      </c>
      <c r="E822">
        <v>19</v>
      </c>
      <c r="F822">
        <v>5</v>
      </c>
      <c r="G822" cm="1">
        <f t="array" ref="G822">SALESTABLE[[#This Row],[Quantity]]*_xlfn.XLOOKUP(SALESTABLE[[#This Row],[Product_ID]],ProductsTable[Product_ID],ProductsTable[Unit_Price],WAASIU,0,1)</f>
        <v>3547.4900000000002</v>
      </c>
      <c r="H822" cm="1">
        <f t="array" ref="H822">SALESTABLE[[#This Row],[Quantity]]*_xlfn.XLOOKUP(SALESTABLE[[#This Row],[Product_ID]],ProductsTable[Product_ID],ProductsTable[Cost_Price],WAASIU,0,1)</f>
        <v>2378.61</v>
      </c>
      <c r="I822">
        <f>SALESTABLE[[#This Row],[Revenue]]-SALESTABLE[[#This Row],[COST]]</f>
        <v>1168.8800000000001</v>
      </c>
      <c r="J822">
        <f>SALESTABLE[[#This Row],[PROFIT]]/SALESTABLE[[#This Row],[Revenue]]*100</f>
        <v>32.949493867495043</v>
      </c>
    </row>
    <row r="823" spans="1:10" x14ac:dyDescent="0.35">
      <c r="A823" t="s">
        <v>957</v>
      </c>
      <c r="B823" s="4">
        <v>45111</v>
      </c>
      <c r="C823" t="s">
        <v>120</v>
      </c>
      <c r="D823" t="s">
        <v>110</v>
      </c>
      <c r="E823">
        <v>18</v>
      </c>
      <c r="F823">
        <v>20</v>
      </c>
      <c r="G823" cm="1">
        <f t="array" ref="G823">SALESTABLE[[#This Row],[Quantity]]*_xlfn.XLOOKUP(SALESTABLE[[#This Row],[Product_ID]],ProductsTable[Product_ID],ProductsTable[Unit_Price],WAASIU,0,1)</f>
        <v>8843.76</v>
      </c>
      <c r="H823" cm="1">
        <f t="array" ref="H823">SALESTABLE[[#This Row],[Quantity]]*_xlfn.XLOOKUP(SALESTABLE[[#This Row],[Product_ID]],ProductsTable[Product_ID],ProductsTable[Cost_Price],WAASIU,0,1)</f>
        <v>4825.9800000000005</v>
      </c>
      <c r="I823">
        <f>SALESTABLE[[#This Row],[Revenue]]-SALESTABLE[[#This Row],[COST]]</f>
        <v>4017.7799999999997</v>
      </c>
      <c r="J823">
        <f>SALESTABLE[[#This Row],[PROFIT]]/SALESTABLE[[#This Row],[Revenue]]*100</f>
        <v>45.430676544818041</v>
      </c>
    </row>
    <row r="824" spans="1:10" x14ac:dyDescent="0.35">
      <c r="A824" t="s">
        <v>958</v>
      </c>
      <c r="B824" s="4">
        <v>45387</v>
      </c>
      <c r="C824" t="s">
        <v>10</v>
      </c>
      <c r="D824" t="s">
        <v>25</v>
      </c>
      <c r="E824">
        <v>19</v>
      </c>
      <c r="F824">
        <v>10</v>
      </c>
      <c r="G824" cm="1">
        <f t="array" ref="G824">SALESTABLE[[#This Row],[Quantity]]*_xlfn.XLOOKUP(SALESTABLE[[#This Row],[Product_ID]],ProductsTable[Product_ID],ProductsTable[Unit_Price],WAASIU,0,1)</f>
        <v>3377.4399999999996</v>
      </c>
      <c r="H824" cm="1">
        <f t="array" ref="H824">SALESTABLE[[#This Row],[Quantity]]*_xlfn.XLOOKUP(SALESTABLE[[#This Row],[Product_ID]],ProductsTable[Product_ID],ProductsTable[Cost_Price],WAASIU,0,1)</f>
        <v>1745.7199999999998</v>
      </c>
      <c r="I824">
        <f>SALESTABLE[[#This Row],[Revenue]]-SALESTABLE[[#This Row],[COST]]</f>
        <v>1631.7199999999998</v>
      </c>
      <c r="J824">
        <f>SALESTABLE[[#This Row],[PROFIT]]/SALESTABLE[[#This Row],[Revenue]]*100</f>
        <v>48.312331233123309</v>
      </c>
    </row>
    <row r="825" spans="1:10" x14ac:dyDescent="0.35">
      <c r="A825" t="s">
        <v>959</v>
      </c>
      <c r="B825" s="4">
        <v>45270</v>
      </c>
      <c r="C825" t="s">
        <v>366</v>
      </c>
      <c r="D825" t="s">
        <v>139</v>
      </c>
      <c r="E825">
        <v>1</v>
      </c>
      <c r="F825">
        <v>10</v>
      </c>
      <c r="G825" cm="1">
        <f t="array" ref="G825">SALESTABLE[[#This Row],[Quantity]]*_xlfn.XLOOKUP(SALESTABLE[[#This Row],[Product_ID]],ProductsTable[Product_ID],ProductsTable[Unit_Price],WAASIU,0,1)</f>
        <v>457.11</v>
      </c>
      <c r="H825" cm="1">
        <f t="array" ref="H825">SALESTABLE[[#This Row],[Quantity]]*_xlfn.XLOOKUP(SALESTABLE[[#This Row],[Product_ID]],ProductsTable[Product_ID],ProductsTable[Cost_Price],WAASIU,0,1)</f>
        <v>327.52</v>
      </c>
      <c r="I825">
        <f>SALESTABLE[[#This Row],[Revenue]]-SALESTABLE[[#This Row],[COST]]</f>
        <v>129.59000000000003</v>
      </c>
      <c r="J825">
        <f>SALESTABLE[[#This Row],[PROFIT]]/SALESTABLE[[#This Row],[Revenue]]*100</f>
        <v>28.349850145479209</v>
      </c>
    </row>
    <row r="826" spans="1:10" x14ac:dyDescent="0.35">
      <c r="A826" t="s">
        <v>960</v>
      </c>
      <c r="B826" s="4">
        <v>45249</v>
      </c>
      <c r="C826" t="s">
        <v>297</v>
      </c>
      <c r="D826" t="s">
        <v>97</v>
      </c>
      <c r="E826">
        <v>12</v>
      </c>
      <c r="F826">
        <v>10</v>
      </c>
      <c r="G826" cm="1">
        <f t="array" ref="G826">SALESTABLE[[#This Row],[Quantity]]*_xlfn.XLOOKUP(SALESTABLE[[#This Row],[Product_ID]],ProductsTable[Product_ID],ProductsTable[Unit_Price],WAASIU,0,1)</f>
        <v>3722.5199999999995</v>
      </c>
      <c r="H826" cm="1">
        <f t="array" ref="H826">SALESTABLE[[#This Row],[Quantity]]*_xlfn.XLOOKUP(SALESTABLE[[#This Row],[Product_ID]],ProductsTable[Product_ID],ProductsTable[Cost_Price],WAASIU,0,1)</f>
        <v>2703.48</v>
      </c>
      <c r="I826">
        <f>SALESTABLE[[#This Row],[Revenue]]-SALESTABLE[[#This Row],[COST]]</f>
        <v>1019.0399999999995</v>
      </c>
      <c r="J826">
        <f>SALESTABLE[[#This Row],[PROFIT]]/SALESTABLE[[#This Row],[Revenue]]*100</f>
        <v>27.375004029528377</v>
      </c>
    </row>
    <row r="827" spans="1:10" x14ac:dyDescent="0.35">
      <c r="A827" t="s">
        <v>961</v>
      </c>
      <c r="B827" s="4">
        <v>45542</v>
      </c>
      <c r="C827" t="s">
        <v>301</v>
      </c>
      <c r="D827" t="s">
        <v>100</v>
      </c>
      <c r="E827">
        <v>16</v>
      </c>
      <c r="F827">
        <v>0</v>
      </c>
      <c r="G827" cm="1">
        <f t="array" ref="G827">SALESTABLE[[#This Row],[Quantity]]*_xlfn.XLOOKUP(SALESTABLE[[#This Row],[Product_ID]],ProductsTable[Product_ID],ProductsTable[Unit_Price],WAASIU,0,1)</f>
        <v>6549.12</v>
      </c>
      <c r="H827" cm="1">
        <f t="array" ref="H827">SALESTABLE[[#This Row],[Quantity]]*_xlfn.XLOOKUP(SALESTABLE[[#This Row],[Product_ID]],ProductsTable[Product_ID],ProductsTable[Cost_Price],WAASIU,0,1)</f>
        <v>3402.4</v>
      </c>
      <c r="I827">
        <f>SALESTABLE[[#This Row],[Revenue]]-SALESTABLE[[#This Row],[COST]]</f>
        <v>3146.72</v>
      </c>
      <c r="J827">
        <f>SALESTABLE[[#This Row],[PROFIT]]/SALESTABLE[[#This Row],[Revenue]]*100</f>
        <v>48.047982018958265</v>
      </c>
    </row>
    <row r="828" spans="1:10" x14ac:dyDescent="0.35">
      <c r="A828" t="s">
        <v>962</v>
      </c>
      <c r="B828" s="4">
        <v>45140</v>
      </c>
      <c r="C828" t="s">
        <v>352</v>
      </c>
      <c r="D828" t="s">
        <v>100</v>
      </c>
      <c r="E828">
        <v>11</v>
      </c>
      <c r="F828">
        <v>5</v>
      </c>
      <c r="G828" cm="1">
        <f t="array" ref="G828">SALESTABLE[[#This Row],[Quantity]]*_xlfn.XLOOKUP(SALESTABLE[[#This Row],[Product_ID]],ProductsTable[Product_ID],ProductsTable[Unit_Price],WAASIU,0,1)</f>
        <v>4502.5199999999995</v>
      </c>
      <c r="H828" cm="1">
        <f t="array" ref="H828">SALESTABLE[[#This Row],[Quantity]]*_xlfn.XLOOKUP(SALESTABLE[[#This Row],[Product_ID]],ProductsTable[Product_ID],ProductsTable[Cost_Price],WAASIU,0,1)</f>
        <v>2339.15</v>
      </c>
      <c r="I828">
        <f>SALESTABLE[[#This Row],[Revenue]]-SALESTABLE[[#This Row],[COST]]</f>
        <v>2163.3699999999994</v>
      </c>
      <c r="J828">
        <f>SALESTABLE[[#This Row],[PROFIT]]/SALESTABLE[[#This Row],[Revenue]]*100</f>
        <v>48.047982018958265</v>
      </c>
    </row>
    <row r="829" spans="1:10" x14ac:dyDescent="0.35">
      <c r="A829" t="s">
        <v>963</v>
      </c>
      <c r="B829" s="4">
        <v>45367</v>
      </c>
      <c r="C829" t="s">
        <v>81</v>
      </c>
      <c r="D829" t="s">
        <v>137</v>
      </c>
      <c r="E829">
        <v>14</v>
      </c>
      <c r="F829">
        <v>10</v>
      </c>
      <c r="G829" cm="1">
        <f t="array" ref="G829">SALESTABLE[[#This Row],[Quantity]]*_xlfn.XLOOKUP(SALESTABLE[[#This Row],[Product_ID]],ProductsTable[Product_ID],ProductsTable[Unit_Price],WAASIU,0,1)</f>
        <v>5088.16</v>
      </c>
      <c r="H829" cm="1">
        <f t="array" ref="H829">SALESTABLE[[#This Row],[Quantity]]*_xlfn.XLOOKUP(SALESTABLE[[#This Row],[Product_ID]],ProductsTable[Product_ID],ProductsTable[Cost_Price],WAASIU,0,1)</f>
        <v>3500.7000000000003</v>
      </c>
      <c r="I829">
        <f>SALESTABLE[[#This Row],[Revenue]]-SALESTABLE[[#This Row],[COST]]</f>
        <v>1587.4599999999996</v>
      </c>
      <c r="J829">
        <f>SALESTABLE[[#This Row],[PROFIT]]/SALESTABLE[[#This Row],[Revenue]]*100</f>
        <v>31.199097512656827</v>
      </c>
    </row>
    <row r="830" spans="1:10" x14ac:dyDescent="0.35">
      <c r="A830" t="s">
        <v>964</v>
      </c>
      <c r="B830" s="4">
        <v>45452</v>
      </c>
      <c r="C830" t="s">
        <v>36</v>
      </c>
      <c r="D830" t="s">
        <v>41</v>
      </c>
      <c r="E830">
        <v>18</v>
      </c>
      <c r="F830">
        <v>15</v>
      </c>
      <c r="G830" cm="1">
        <f t="array" ref="G830">SALESTABLE[[#This Row],[Quantity]]*_xlfn.XLOOKUP(SALESTABLE[[#This Row],[Product_ID]],ProductsTable[Product_ID],ProductsTable[Unit_Price],WAASIU,0,1)</f>
        <v>7663.5</v>
      </c>
      <c r="H830" cm="1">
        <f t="array" ref="H830">SALESTABLE[[#This Row],[Quantity]]*_xlfn.XLOOKUP(SALESTABLE[[#This Row],[Product_ID]],ProductsTable[Product_ID],ProductsTable[Cost_Price],WAASIU,0,1)</f>
        <v>4376.34</v>
      </c>
      <c r="I830">
        <f>SALESTABLE[[#This Row],[Revenue]]-SALESTABLE[[#This Row],[COST]]</f>
        <v>3287.16</v>
      </c>
      <c r="J830">
        <f>SALESTABLE[[#This Row],[PROFIT]]/SALESTABLE[[#This Row],[Revenue]]*100</f>
        <v>42.89371697005285</v>
      </c>
    </row>
    <row r="831" spans="1:10" x14ac:dyDescent="0.35">
      <c r="A831" t="s">
        <v>965</v>
      </c>
      <c r="B831" s="4">
        <v>45551</v>
      </c>
      <c r="C831" t="s">
        <v>54</v>
      </c>
      <c r="D831" t="s">
        <v>133</v>
      </c>
      <c r="E831">
        <v>15</v>
      </c>
      <c r="F831">
        <v>15</v>
      </c>
      <c r="G831" cm="1">
        <f t="array" ref="G831">SALESTABLE[[#This Row],[Quantity]]*_xlfn.XLOOKUP(SALESTABLE[[#This Row],[Product_ID]],ProductsTable[Product_ID],ProductsTable[Unit_Price],WAASIU,0,1)</f>
        <v>5265</v>
      </c>
      <c r="H831" cm="1">
        <f t="array" ref="H831">SALESTABLE[[#This Row],[Quantity]]*_xlfn.XLOOKUP(SALESTABLE[[#This Row],[Product_ID]],ProductsTable[Product_ID],ProductsTable[Cost_Price],WAASIU,0,1)</f>
        <v>3504.45</v>
      </c>
      <c r="I831">
        <f>SALESTABLE[[#This Row],[Revenue]]-SALESTABLE[[#This Row],[COST]]</f>
        <v>1760.5500000000002</v>
      </c>
      <c r="J831">
        <f>SALESTABLE[[#This Row],[PROFIT]]/SALESTABLE[[#This Row],[Revenue]]*100</f>
        <v>33.438746438746442</v>
      </c>
    </row>
    <row r="832" spans="1:10" x14ac:dyDescent="0.35">
      <c r="A832" t="s">
        <v>966</v>
      </c>
      <c r="B832" s="4">
        <v>45648</v>
      </c>
      <c r="C832" t="s">
        <v>104</v>
      </c>
      <c r="D832" t="s">
        <v>93</v>
      </c>
      <c r="E832">
        <v>13</v>
      </c>
      <c r="F832">
        <v>0</v>
      </c>
      <c r="G832" cm="1">
        <f t="array" ref="G832">SALESTABLE[[#This Row],[Quantity]]*_xlfn.XLOOKUP(SALESTABLE[[#This Row],[Product_ID]],ProductsTable[Product_ID],ProductsTable[Unit_Price],WAASIU,0,1)</f>
        <v>2782.39</v>
      </c>
      <c r="H832" cm="1">
        <f t="array" ref="H832">SALESTABLE[[#This Row],[Quantity]]*_xlfn.XLOOKUP(SALESTABLE[[#This Row],[Product_ID]],ProductsTable[Product_ID],ProductsTable[Cost_Price],WAASIU,0,1)</f>
        <v>2037.23</v>
      </c>
      <c r="I832">
        <f>SALESTABLE[[#This Row],[Revenue]]-SALESTABLE[[#This Row],[COST]]</f>
        <v>745.15999999999985</v>
      </c>
      <c r="J832">
        <f>SALESTABLE[[#This Row],[PROFIT]]/SALESTABLE[[#This Row],[Revenue]]*100</f>
        <v>26.781292342195016</v>
      </c>
    </row>
    <row r="833" spans="1:10" x14ac:dyDescent="0.35">
      <c r="A833" t="s">
        <v>967</v>
      </c>
      <c r="B833" s="4">
        <v>45650</v>
      </c>
      <c r="C833" t="s">
        <v>366</v>
      </c>
      <c r="D833" t="s">
        <v>57</v>
      </c>
      <c r="E833">
        <v>6</v>
      </c>
      <c r="F833">
        <v>0</v>
      </c>
      <c r="G833" cm="1">
        <f t="array" ref="G833">SALESTABLE[[#This Row],[Quantity]]*_xlfn.XLOOKUP(SALESTABLE[[#This Row],[Product_ID]],ProductsTable[Product_ID],ProductsTable[Unit_Price],WAASIU,0,1)</f>
        <v>952.98</v>
      </c>
      <c r="H833" cm="1">
        <f t="array" ref="H833">SALESTABLE[[#This Row],[Quantity]]*_xlfn.XLOOKUP(SALESTABLE[[#This Row],[Product_ID]],ProductsTable[Product_ID],ProductsTable[Cost_Price],WAASIU,0,1)</f>
        <v>761.64</v>
      </c>
      <c r="I833">
        <f>SALESTABLE[[#This Row],[Revenue]]-SALESTABLE[[#This Row],[COST]]</f>
        <v>191.34000000000003</v>
      </c>
      <c r="J833">
        <f>SALESTABLE[[#This Row],[PROFIT]]/SALESTABLE[[#This Row],[Revenue]]*100</f>
        <v>20.078070893408047</v>
      </c>
    </row>
    <row r="834" spans="1:10" x14ac:dyDescent="0.35">
      <c r="A834" t="s">
        <v>968</v>
      </c>
      <c r="B834" s="4">
        <v>45512</v>
      </c>
      <c r="C834" t="s">
        <v>154</v>
      </c>
      <c r="D834" t="s">
        <v>93</v>
      </c>
      <c r="E834">
        <v>20</v>
      </c>
      <c r="F834">
        <v>15</v>
      </c>
      <c r="G834" cm="1">
        <f t="array" ref="G834">SALESTABLE[[#This Row],[Quantity]]*_xlfn.XLOOKUP(SALESTABLE[[#This Row],[Product_ID]],ProductsTable[Product_ID],ProductsTable[Unit_Price],WAASIU,0,1)</f>
        <v>4280.6000000000004</v>
      </c>
      <c r="H834" cm="1">
        <f t="array" ref="H834">SALESTABLE[[#This Row],[Quantity]]*_xlfn.XLOOKUP(SALESTABLE[[#This Row],[Product_ID]],ProductsTable[Product_ID],ProductsTable[Cost_Price],WAASIU,0,1)</f>
        <v>3134.2000000000003</v>
      </c>
      <c r="I834">
        <f>SALESTABLE[[#This Row],[Revenue]]-SALESTABLE[[#This Row],[COST]]</f>
        <v>1146.4000000000001</v>
      </c>
      <c r="J834">
        <f>SALESTABLE[[#This Row],[PROFIT]]/SALESTABLE[[#This Row],[Revenue]]*100</f>
        <v>26.781292342195016</v>
      </c>
    </row>
    <row r="835" spans="1:10" x14ac:dyDescent="0.35">
      <c r="A835" t="s">
        <v>969</v>
      </c>
      <c r="B835" s="4">
        <v>45141</v>
      </c>
      <c r="C835" t="s">
        <v>237</v>
      </c>
      <c r="D835" t="s">
        <v>139</v>
      </c>
      <c r="E835">
        <v>2</v>
      </c>
      <c r="F835">
        <v>20</v>
      </c>
      <c r="G835" cm="1">
        <f t="array" ref="G835">SALESTABLE[[#This Row],[Quantity]]*_xlfn.XLOOKUP(SALESTABLE[[#This Row],[Product_ID]],ProductsTable[Product_ID],ProductsTable[Unit_Price],WAASIU,0,1)</f>
        <v>914.22</v>
      </c>
      <c r="H835" cm="1">
        <f t="array" ref="H835">SALESTABLE[[#This Row],[Quantity]]*_xlfn.XLOOKUP(SALESTABLE[[#This Row],[Product_ID]],ProductsTable[Product_ID],ProductsTable[Cost_Price],WAASIU,0,1)</f>
        <v>655.04</v>
      </c>
      <c r="I835">
        <f>SALESTABLE[[#This Row],[Revenue]]-SALESTABLE[[#This Row],[COST]]</f>
        <v>259.18000000000006</v>
      </c>
      <c r="J835">
        <f>SALESTABLE[[#This Row],[PROFIT]]/SALESTABLE[[#This Row],[Revenue]]*100</f>
        <v>28.349850145479209</v>
      </c>
    </row>
    <row r="836" spans="1:10" x14ac:dyDescent="0.35">
      <c r="A836" t="s">
        <v>970</v>
      </c>
      <c r="B836" s="4">
        <v>45256</v>
      </c>
      <c r="C836" t="s">
        <v>156</v>
      </c>
      <c r="D836" t="s">
        <v>49</v>
      </c>
      <c r="E836">
        <v>1</v>
      </c>
      <c r="F836">
        <v>20</v>
      </c>
      <c r="G836" cm="1">
        <f t="array" ref="G836">SALESTABLE[[#This Row],[Quantity]]*_xlfn.XLOOKUP(SALESTABLE[[#This Row],[Product_ID]],ProductsTable[Product_ID],ProductsTable[Unit_Price],WAASIU,0,1)</f>
        <v>229.63</v>
      </c>
      <c r="H836" cm="1">
        <f t="array" ref="H836">SALESTABLE[[#This Row],[Quantity]]*_xlfn.XLOOKUP(SALESTABLE[[#This Row],[Product_ID]],ProductsTable[Product_ID],ProductsTable[Cost_Price],WAASIU,0,1)</f>
        <v>131.41999999999999</v>
      </c>
      <c r="I836">
        <f>SALESTABLE[[#This Row],[Revenue]]-SALESTABLE[[#This Row],[COST]]</f>
        <v>98.210000000000008</v>
      </c>
      <c r="J836">
        <f>SALESTABLE[[#This Row],[PROFIT]]/SALESTABLE[[#This Row],[Revenue]]*100</f>
        <v>42.76880198580325</v>
      </c>
    </row>
    <row r="837" spans="1:10" x14ac:dyDescent="0.35">
      <c r="A837" t="s">
        <v>971</v>
      </c>
      <c r="B837" s="4">
        <v>45144</v>
      </c>
      <c r="C837" t="s">
        <v>99</v>
      </c>
      <c r="D837" t="s">
        <v>49</v>
      </c>
      <c r="E837">
        <v>5</v>
      </c>
      <c r="F837">
        <v>20</v>
      </c>
      <c r="G837" cm="1">
        <f t="array" ref="G837">SALESTABLE[[#This Row],[Quantity]]*_xlfn.XLOOKUP(SALESTABLE[[#This Row],[Product_ID]],ProductsTable[Product_ID],ProductsTable[Unit_Price],WAASIU,0,1)</f>
        <v>1148.1500000000001</v>
      </c>
      <c r="H837" cm="1">
        <f t="array" ref="H837">SALESTABLE[[#This Row],[Quantity]]*_xlfn.XLOOKUP(SALESTABLE[[#This Row],[Product_ID]],ProductsTable[Product_ID],ProductsTable[Cost_Price],WAASIU,0,1)</f>
        <v>657.09999999999991</v>
      </c>
      <c r="I837">
        <f>SALESTABLE[[#This Row],[Revenue]]-SALESTABLE[[#This Row],[COST]]</f>
        <v>491.05000000000018</v>
      </c>
      <c r="J837">
        <f>SALESTABLE[[#This Row],[PROFIT]]/SALESTABLE[[#This Row],[Revenue]]*100</f>
        <v>42.768801985803265</v>
      </c>
    </row>
    <row r="838" spans="1:10" x14ac:dyDescent="0.35">
      <c r="A838" t="s">
        <v>972</v>
      </c>
      <c r="B838" s="4">
        <v>45553</v>
      </c>
      <c r="C838" t="s">
        <v>122</v>
      </c>
      <c r="D838" t="s">
        <v>28</v>
      </c>
      <c r="E838">
        <v>5</v>
      </c>
      <c r="F838">
        <v>15</v>
      </c>
      <c r="G838" cm="1">
        <f t="array" ref="G838">SALESTABLE[[#This Row],[Quantity]]*_xlfn.XLOOKUP(SALESTABLE[[#This Row],[Product_ID]],ProductsTable[Product_ID],ProductsTable[Unit_Price],WAASIU,0,1)</f>
        <v>2127.4</v>
      </c>
      <c r="H838" cm="1">
        <f t="array" ref="H838">SALESTABLE[[#This Row],[Quantity]]*_xlfn.XLOOKUP(SALESTABLE[[#This Row],[Product_ID]],ProductsTable[Product_ID],ProductsTable[Cost_Price],WAASIU,0,1)</f>
        <v>1167.3999999999999</v>
      </c>
      <c r="I838">
        <f>SALESTABLE[[#This Row],[Revenue]]-SALESTABLE[[#This Row],[COST]]</f>
        <v>960.00000000000023</v>
      </c>
      <c r="J838">
        <f>SALESTABLE[[#This Row],[PROFIT]]/SALESTABLE[[#This Row],[Revenue]]*100</f>
        <v>45.125505311648027</v>
      </c>
    </row>
    <row r="839" spans="1:10" x14ac:dyDescent="0.35">
      <c r="A839" t="s">
        <v>973</v>
      </c>
      <c r="B839" s="4">
        <v>45570</v>
      </c>
      <c r="C839" t="s">
        <v>104</v>
      </c>
      <c r="D839" t="s">
        <v>57</v>
      </c>
      <c r="E839">
        <v>11</v>
      </c>
      <c r="F839">
        <v>20</v>
      </c>
      <c r="G839" cm="1">
        <f t="array" ref="G839">SALESTABLE[[#This Row],[Quantity]]*_xlfn.XLOOKUP(SALESTABLE[[#This Row],[Product_ID]],ProductsTable[Product_ID],ProductsTable[Unit_Price],WAASIU,0,1)</f>
        <v>1747.13</v>
      </c>
      <c r="H839" cm="1">
        <f t="array" ref="H839">SALESTABLE[[#This Row],[Quantity]]*_xlfn.XLOOKUP(SALESTABLE[[#This Row],[Product_ID]],ProductsTable[Product_ID],ProductsTable[Cost_Price],WAASIU,0,1)</f>
        <v>1396.34</v>
      </c>
      <c r="I839">
        <f>SALESTABLE[[#This Row],[Revenue]]-SALESTABLE[[#This Row],[COST]]</f>
        <v>350.79000000000019</v>
      </c>
      <c r="J839">
        <f>SALESTABLE[[#This Row],[PROFIT]]/SALESTABLE[[#This Row],[Revenue]]*100</f>
        <v>20.078070893408057</v>
      </c>
    </row>
    <row r="840" spans="1:10" x14ac:dyDescent="0.35">
      <c r="A840" t="s">
        <v>974</v>
      </c>
      <c r="B840" s="4">
        <v>45620</v>
      </c>
      <c r="C840" t="s">
        <v>179</v>
      </c>
      <c r="D840" t="s">
        <v>11</v>
      </c>
      <c r="E840">
        <v>5</v>
      </c>
      <c r="F840">
        <v>0</v>
      </c>
      <c r="G840" cm="1">
        <f t="array" ref="G840">SALESTABLE[[#This Row],[Quantity]]*_xlfn.XLOOKUP(SALESTABLE[[#This Row],[Product_ID]],ProductsTable[Product_ID],ProductsTable[Unit_Price],WAASIU,0,1)</f>
        <v>2386.35</v>
      </c>
      <c r="H840" cm="1">
        <f t="array" ref="H840">SALESTABLE[[#This Row],[Quantity]]*_xlfn.XLOOKUP(SALESTABLE[[#This Row],[Product_ID]],ProductsTable[Product_ID],ProductsTable[Cost_Price],WAASIU,0,1)</f>
        <v>1494.1999999999998</v>
      </c>
      <c r="I840">
        <f>SALESTABLE[[#This Row],[Revenue]]-SALESTABLE[[#This Row],[COST]]</f>
        <v>892.15000000000009</v>
      </c>
      <c r="J840">
        <f>SALESTABLE[[#This Row],[PROFIT]]/SALESTABLE[[#This Row],[Revenue]]*100</f>
        <v>37.385546965030279</v>
      </c>
    </row>
    <row r="841" spans="1:10" x14ac:dyDescent="0.35">
      <c r="A841" t="s">
        <v>975</v>
      </c>
      <c r="B841" s="4">
        <v>45135</v>
      </c>
      <c r="C841" t="s">
        <v>51</v>
      </c>
      <c r="D841" t="s">
        <v>107</v>
      </c>
      <c r="E841">
        <v>9</v>
      </c>
      <c r="F841">
        <v>20</v>
      </c>
      <c r="G841" cm="1">
        <f t="array" ref="G841">SALESTABLE[[#This Row],[Quantity]]*_xlfn.XLOOKUP(SALESTABLE[[#This Row],[Product_ID]],ProductsTable[Product_ID],ProductsTable[Unit_Price],WAASIU,0,1)</f>
        <v>585.09</v>
      </c>
      <c r="H841" cm="1">
        <f t="array" ref="H841">SALESTABLE[[#This Row],[Quantity]]*_xlfn.XLOOKUP(SALESTABLE[[#This Row],[Product_ID]],ProductsTable[Product_ID],ProductsTable[Cost_Price],WAASIU,0,1)</f>
        <v>331.46999999999997</v>
      </c>
      <c r="I841">
        <f>SALESTABLE[[#This Row],[Revenue]]-SALESTABLE[[#This Row],[COST]]</f>
        <v>253.62000000000006</v>
      </c>
      <c r="J841">
        <f>SALESTABLE[[#This Row],[PROFIT]]/SALESTABLE[[#This Row],[Revenue]]*100</f>
        <v>43.347177357329649</v>
      </c>
    </row>
    <row r="842" spans="1:10" x14ac:dyDescent="0.35">
      <c r="A842" t="s">
        <v>976</v>
      </c>
      <c r="B842" s="4">
        <v>44947</v>
      </c>
      <c r="C842" t="s">
        <v>131</v>
      </c>
      <c r="D842" t="s">
        <v>77</v>
      </c>
      <c r="E842">
        <v>15</v>
      </c>
      <c r="F842">
        <v>5</v>
      </c>
      <c r="G842" cm="1">
        <f t="array" ref="G842">SALESTABLE[[#This Row],[Quantity]]*_xlfn.XLOOKUP(SALESTABLE[[#This Row],[Product_ID]],ProductsTable[Product_ID],ProductsTable[Unit_Price],WAASIU,0,1)</f>
        <v>1377</v>
      </c>
      <c r="H842" cm="1">
        <f t="array" ref="H842">SALESTABLE[[#This Row],[Quantity]]*_xlfn.XLOOKUP(SALESTABLE[[#This Row],[Product_ID]],ProductsTable[Product_ID],ProductsTable[Cost_Price],WAASIU,0,1)</f>
        <v>734.55</v>
      </c>
      <c r="I842">
        <f>SALESTABLE[[#This Row],[Revenue]]-SALESTABLE[[#This Row],[COST]]</f>
        <v>642.45000000000005</v>
      </c>
      <c r="J842">
        <f>SALESTABLE[[#This Row],[PROFIT]]/SALESTABLE[[#This Row],[Revenue]]*100</f>
        <v>46.655773420479306</v>
      </c>
    </row>
    <row r="843" spans="1:10" x14ac:dyDescent="0.35">
      <c r="A843" t="s">
        <v>977</v>
      </c>
      <c r="B843" s="4">
        <v>45022</v>
      </c>
      <c r="C843" t="s">
        <v>65</v>
      </c>
      <c r="D843" t="s">
        <v>34</v>
      </c>
      <c r="E843">
        <v>4</v>
      </c>
      <c r="F843">
        <v>15</v>
      </c>
      <c r="G843" cm="1">
        <f t="array" ref="G843">SALESTABLE[[#This Row],[Quantity]]*_xlfn.XLOOKUP(SALESTABLE[[#This Row],[Product_ID]],ProductsTable[Product_ID],ProductsTable[Unit_Price],WAASIU,0,1)</f>
        <v>1315</v>
      </c>
      <c r="H843" cm="1">
        <f t="array" ref="H843">SALESTABLE[[#This Row],[Quantity]]*_xlfn.XLOOKUP(SALESTABLE[[#This Row],[Product_ID]],ProductsTable[Product_ID],ProductsTable[Cost_Price],WAASIU,0,1)</f>
        <v>932.72</v>
      </c>
      <c r="I843">
        <f>SALESTABLE[[#This Row],[Revenue]]-SALESTABLE[[#This Row],[COST]]</f>
        <v>382.28</v>
      </c>
      <c r="J843">
        <f>SALESTABLE[[#This Row],[PROFIT]]/SALESTABLE[[#This Row],[Revenue]]*100</f>
        <v>29.070722433460073</v>
      </c>
    </row>
    <row r="844" spans="1:10" x14ac:dyDescent="0.35">
      <c r="A844" t="s">
        <v>978</v>
      </c>
      <c r="B844" s="4">
        <v>45420</v>
      </c>
      <c r="C844" t="s">
        <v>229</v>
      </c>
      <c r="D844" t="s">
        <v>93</v>
      </c>
      <c r="E844">
        <v>11</v>
      </c>
      <c r="F844">
        <v>20</v>
      </c>
      <c r="G844" cm="1">
        <f t="array" ref="G844">SALESTABLE[[#This Row],[Quantity]]*_xlfn.XLOOKUP(SALESTABLE[[#This Row],[Product_ID]],ProductsTable[Product_ID],ProductsTable[Unit_Price],WAASIU,0,1)</f>
        <v>2354.33</v>
      </c>
      <c r="H844" cm="1">
        <f t="array" ref="H844">SALESTABLE[[#This Row],[Quantity]]*_xlfn.XLOOKUP(SALESTABLE[[#This Row],[Product_ID]],ProductsTable[Product_ID],ProductsTable[Cost_Price],WAASIU,0,1)</f>
        <v>1723.8100000000002</v>
      </c>
      <c r="I844">
        <f>SALESTABLE[[#This Row],[Revenue]]-SALESTABLE[[#This Row],[COST]]</f>
        <v>630.51999999999975</v>
      </c>
      <c r="J844">
        <f>SALESTABLE[[#This Row],[PROFIT]]/SALESTABLE[[#This Row],[Revenue]]*100</f>
        <v>26.781292342195012</v>
      </c>
    </row>
    <row r="845" spans="1:10" x14ac:dyDescent="0.35">
      <c r="A845" t="s">
        <v>979</v>
      </c>
      <c r="B845" s="4">
        <v>45362</v>
      </c>
      <c r="C845" t="s">
        <v>177</v>
      </c>
      <c r="D845" t="s">
        <v>41</v>
      </c>
      <c r="E845">
        <v>3</v>
      </c>
      <c r="F845">
        <v>10</v>
      </c>
      <c r="G845" cm="1">
        <f t="array" ref="G845">SALESTABLE[[#This Row],[Quantity]]*_xlfn.XLOOKUP(SALESTABLE[[#This Row],[Product_ID]],ProductsTable[Product_ID],ProductsTable[Unit_Price],WAASIU,0,1)</f>
        <v>1277.25</v>
      </c>
      <c r="H845" cm="1">
        <f t="array" ref="H845">SALESTABLE[[#This Row],[Quantity]]*_xlfn.XLOOKUP(SALESTABLE[[#This Row],[Product_ID]],ProductsTable[Product_ID],ProductsTable[Cost_Price],WAASIU,0,1)</f>
        <v>729.39</v>
      </c>
      <c r="I845">
        <f>SALESTABLE[[#This Row],[Revenue]]-SALESTABLE[[#This Row],[COST]]</f>
        <v>547.86</v>
      </c>
      <c r="J845">
        <f>SALESTABLE[[#This Row],[PROFIT]]/SALESTABLE[[#This Row],[Revenue]]*100</f>
        <v>42.89371697005285</v>
      </c>
    </row>
    <row r="846" spans="1:10" x14ac:dyDescent="0.35">
      <c r="A846" t="s">
        <v>980</v>
      </c>
      <c r="B846" s="4">
        <v>45405</v>
      </c>
      <c r="C846" t="s">
        <v>54</v>
      </c>
      <c r="D846" t="s">
        <v>137</v>
      </c>
      <c r="E846">
        <v>11</v>
      </c>
      <c r="F846">
        <v>20</v>
      </c>
      <c r="G846" cm="1">
        <f t="array" ref="G846">SALESTABLE[[#This Row],[Quantity]]*_xlfn.XLOOKUP(SALESTABLE[[#This Row],[Product_ID]],ProductsTable[Product_ID],ProductsTable[Unit_Price],WAASIU,0,1)</f>
        <v>3997.84</v>
      </c>
      <c r="H846" cm="1">
        <f t="array" ref="H846">SALESTABLE[[#This Row],[Quantity]]*_xlfn.XLOOKUP(SALESTABLE[[#This Row],[Product_ID]],ProductsTable[Product_ID],ProductsTable[Cost_Price],WAASIU,0,1)</f>
        <v>2750.55</v>
      </c>
      <c r="I846">
        <f>SALESTABLE[[#This Row],[Revenue]]-SALESTABLE[[#This Row],[COST]]</f>
        <v>1247.29</v>
      </c>
      <c r="J846">
        <f>SALESTABLE[[#This Row],[PROFIT]]/SALESTABLE[[#This Row],[Revenue]]*100</f>
        <v>31.199097512656831</v>
      </c>
    </row>
    <row r="847" spans="1:10" x14ac:dyDescent="0.35">
      <c r="A847" t="s">
        <v>981</v>
      </c>
      <c r="B847" s="4">
        <v>45265</v>
      </c>
      <c r="C847" t="s">
        <v>190</v>
      </c>
      <c r="D847" t="s">
        <v>110</v>
      </c>
      <c r="E847">
        <v>2</v>
      </c>
      <c r="F847">
        <v>5</v>
      </c>
      <c r="G847" cm="1">
        <f t="array" ref="G847">SALESTABLE[[#This Row],[Quantity]]*_xlfn.XLOOKUP(SALESTABLE[[#This Row],[Product_ID]],ProductsTable[Product_ID],ProductsTable[Unit_Price],WAASIU,0,1)</f>
        <v>982.64</v>
      </c>
      <c r="H847" cm="1">
        <f t="array" ref="H847">SALESTABLE[[#This Row],[Quantity]]*_xlfn.XLOOKUP(SALESTABLE[[#This Row],[Product_ID]],ProductsTable[Product_ID],ProductsTable[Cost_Price],WAASIU,0,1)</f>
        <v>536.22</v>
      </c>
      <c r="I847">
        <f>SALESTABLE[[#This Row],[Revenue]]-SALESTABLE[[#This Row],[COST]]</f>
        <v>446.41999999999996</v>
      </c>
      <c r="J847">
        <f>SALESTABLE[[#This Row],[PROFIT]]/SALESTABLE[[#This Row],[Revenue]]*100</f>
        <v>45.430676544818041</v>
      </c>
    </row>
    <row r="848" spans="1:10" x14ac:dyDescent="0.35">
      <c r="A848" t="s">
        <v>982</v>
      </c>
      <c r="B848" s="4">
        <v>45388</v>
      </c>
      <c r="C848" t="s">
        <v>181</v>
      </c>
      <c r="D848" t="s">
        <v>25</v>
      </c>
      <c r="E848">
        <v>9</v>
      </c>
      <c r="F848">
        <v>10</v>
      </c>
      <c r="G848" cm="1">
        <f t="array" ref="G848">SALESTABLE[[#This Row],[Quantity]]*_xlfn.XLOOKUP(SALESTABLE[[#This Row],[Product_ID]],ProductsTable[Product_ID],ProductsTable[Unit_Price],WAASIU,0,1)</f>
        <v>1599.84</v>
      </c>
      <c r="H848" cm="1">
        <f t="array" ref="H848">SALESTABLE[[#This Row],[Quantity]]*_xlfn.XLOOKUP(SALESTABLE[[#This Row],[Product_ID]],ProductsTable[Product_ID],ProductsTable[Cost_Price],WAASIU,0,1)</f>
        <v>826.92</v>
      </c>
      <c r="I848">
        <f>SALESTABLE[[#This Row],[Revenue]]-SALESTABLE[[#This Row],[COST]]</f>
        <v>772.92</v>
      </c>
      <c r="J848">
        <f>SALESTABLE[[#This Row],[PROFIT]]/SALESTABLE[[#This Row],[Revenue]]*100</f>
        <v>48.312331233123309</v>
      </c>
    </row>
    <row r="849" spans="1:10" x14ac:dyDescent="0.35">
      <c r="A849" t="s">
        <v>983</v>
      </c>
      <c r="B849" s="4">
        <v>44975</v>
      </c>
      <c r="C849" t="s">
        <v>59</v>
      </c>
      <c r="D849" t="s">
        <v>248</v>
      </c>
      <c r="E849">
        <v>6</v>
      </c>
      <c r="F849">
        <v>15</v>
      </c>
      <c r="G849" cm="1">
        <f t="array" ref="G849">SALESTABLE[[#This Row],[Quantity]]*_xlfn.XLOOKUP(SALESTABLE[[#This Row],[Product_ID]],ProductsTable[Product_ID],ProductsTable[Unit_Price],WAASIU,0,1)</f>
        <v>1120.26</v>
      </c>
      <c r="H849" cm="1">
        <f t="array" ref="H849">SALESTABLE[[#This Row],[Quantity]]*_xlfn.XLOOKUP(SALESTABLE[[#This Row],[Product_ID]],ProductsTable[Product_ID],ProductsTable[Cost_Price],WAASIU,0,1)</f>
        <v>751.14</v>
      </c>
      <c r="I849">
        <f>SALESTABLE[[#This Row],[Revenue]]-SALESTABLE[[#This Row],[COST]]</f>
        <v>369.12</v>
      </c>
      <c r="J849">
        <f>SALESTABLE[[#This Row],[PROFIT]]/SALESTABLE[[#This Row],[Revenue]]*100</f>
        <v>32.949493867495043</v>
      </c>
    </row>
    <row r="850" spans="1:10" x14ac:dyDescent="0.35">
      <c r="A850" t="s">
        <v>984</v>
      </c>
      <c r="B850" s="4">
        <v>45460</v>
      </c>
      <c r="C850" t="s">
        <v>198</v>
      </c>
      <c r="D850" t="s">
        <v>25</v>
      </c>
      <c r="E850">
        <v>1</v>
      </c>
      <c r="F850">
        <v>5</v>
      </c>
      <c r="G850" cm="1">
        <f t="array" ref="G850">SALESTABLE[[#This Row],[Quantity]]*_xlfn.XLOOKUP(SALESTABLE[[#This Row],[Product_ID]],ProductsTable[Product_ID],ProductsTable[Unit_Price],WAASIU,0,1)</f>
        <v>177.76</v>
      </c>
      <c r="H850" cm="1">
        <f t="array" ref="H850">SALESTABLE[[#This Row],[Quantity]]*_xlfn.XLOOKUP(SALESTABLE[[#This Row],[Product_ID]],ProductsTable[Product_ID],ProductsTable[Cost_Price],WAASIU,0,1)</f>
        <v>91.88</v>
      </c>
      <c r="I850">
        <f>SALESTABLE[[#This Row],[Revenue]]-SALESTABLE[[#This Row],[COST]]</f>
        <v>85.88</v>
      </c>
      <c r="J850">
        <f>SALESTABLE[[#This Row],[PROFIT]]/SALESTABLE[[#This Row],[Revenue]]*100</f>
        <v>48.312331233123309</v>
      </c>
    </row>
    <row r="851" spans="1:10" x14ac:dyDescent="0.35">
      <c r="A851" t="s">
        <v>985</v>
      </c>
      <c r="B851" s="4">
        <v>45043</v>
      </c>
      <c r="C851" t="s">
        <v>161</v>
      </c>
      <c r="D851" t="s">
        <v>11</v>
      </c>
      <c r="E851">
        <v>2</v>
      </c>
      <c r="F851">
        <v>10</v>
      </c>
      <c r="G851" cm="1">
        <f t="array" ref="G851">SALESTABLE[[#This Row],[Quantity]]*_xlfn.XLOOKUP(SALESTABLE[[#This Row],[Product_ID]],ProductsTable[Product_ID],ProductsTable[Unit_Price],WAASIU,0,1)</f>
        <v>954.54</v>
      </c>
      <c r="H851" cm="1">
        <f t="array" ref="H851">SALESTABLE[[#This Row],[Quantity]]*_xlfn.XLOOKUP(SALESTABLE[[#This Row],[Product_ID]],ProductsTable[Product_ID],ProductsTable[Cost_Price],WAASIU,0,1)</f>
        <v>597.67999999999995</v>
      </c>
      <c r="I851">
        <f>SALESTABLE[[#This Row],[Revenue]]-SALESTABLE[[#This Row],[COST]]</f>
        <v>356.86</v>
      </c>
      <c r="J851">
        <f>SALESTABLE[[#This Row],[PROFIT]]/SALESTABLE[[#This Row],[Revenue]]*100</f>
        <v>37.385546965030279</v>
      </c>
    </row>
    <row r="852" spans="1:10" x14ac:dyDescent="0.35">
      <c r="A852" t="s">
        <v>986</v>
      </c>
      <c r="B852" s="4">
        <v>45034</v>
      </c>
      <c r="C852" t="s">
        <v>187</v>
      </c>
      <c r="D852" t="s">
        <v>44</v>
      </c>
      <c r="E852">
        <v>12</v>
      </c>
      <c r="F852">
        <v>20</v>
      </c>
      <c r="G852" cm="1">
        <f t="array" ref="G852">SALESTABLE[[#This Row],[Quantity]]*_xlfn.XLOOKUP(SALESTABLE[[#This Row],[Product_ID]],ProductsTable[Product_ID],ProductsTable[Unit_Price],WAASIU,0,1)</f>
        <v>1610.28</v>
      </c>
      <c r="H852" cm="1">
        <f t="array" ref="H852">SALESTABLE[[#This Row],[Quantity]]*_xlfn.XLOOKUP(SALESTABLE[[#This Row],[Product_ID]],ProductsTable[Product_ID],ProductsTable[Cost_Price],WAASIU,0,1)</f>
        <v>999.83999999999992</v>
      </c>
      <c r="I852">
        <f>SALESTABLE[[#This Row],[Revenue]]-SALESTABLE[[#This Row],[COST]]</f>
        <v>610.44000000000005</v>
      </c>
      <c r="J852">
        <f>SALESTABLE[[#This Row],[PROFIT]]/SALESTABLE[[#This Row],[Revenue]]*100</f>
        <v>37.908935092033687</v>
      </c>
    </row>
    <row r="853" spans="1:10" x14ac:dyDescent="0.35">
      <c r="A853" t="s">
        <v>987</v>
      </c>
      <c r="B853" s="4">
        <v>45429</v>
      </c>
      <c r="C853" t="s">
        <v>156</v>
      </c>
      <c r="D853" t="s">
        <v>93</v>
      </c>
      <c r="E853">
        <v>18</v>
      </c>
      <c r="F853">
        <v>10</v>
      </c>
      <c r="G853" cm="1">
        <f t="array" ref="G853">SALESTABLE[[#This Row],[Quantity]]*_xlfn.XLOOKUP(SALESTABLE[[#This Row],[Product_ID]],ProductsTable[Product_ID],ProductsTable[Unit_Price],WAASIU,0,1)</f>
        <v>3852.54</v>
      </c>
      <c r="H853" cm="1">
        <f t="array" ref="H853">SALESTABLE[[#This Row],[Quantity]]*_xlfn.XLOOKUP(SALESTABLE[[#This Row],[Product_ID]],ProductsTable[Product_ID],ProductsTable[Cost_Price],WAASIU,0,1)</f>
        <v>2820.78</v>
      </c>
      <c r="I853">
        <f>SALESTABLE[[#This Row],[Revenue]]-SALESTABLE[[#This Row],[COST]]</f>
        <v>1031.7599999999998</v>
      </c>
      <c r="J853">
        <f>SALESTABLE[[#This Row],[PROFIT]]/SALESTABLE[[#This Row],[Revenue]]*100</f>
        <v>26.781292342195012</v>
      </c>
    </row>
    <row r="854" spans="1:10" x14ac:dyDescent="0.35">
      <c r="A854" t="s">
        <v>988</v>
      </c>
      <c r="B854" s="4">
        <v>45338</v>
      </c>
      <c r="C854" t="s">
        <v>33</v>
      </c>
      <c r="D854" t="s">
        <v>57</v>
      </c>
      <c r="E854">
        <v>12</v>
      </c>
      <c r="F854">
        <v>20</v>
      </c>
      <c r="G854" cm="1">
        <f t="array" ref="G854">SALESTABLE[[#This Row],[Quantity]]*_xlfn.XLOOKUP(SALESTABLE[[#This Row],[Product_ID]],ProductsTable[Product_ID],ProductsTable[Unit_Price],WAASIU,0,1)</f>
        <v>1905.96</v>
      </c>
      <c r="H854" cm="1">
        <f t="array" ref="H854">SALESTABLE[[#This Row],[Quantity]]*_xlfn.XLOOKUP(SALESTABLE[[#This Row],[Product_ID]],ProductsTable[Product_ID],ProductsTable[Cost_Price],WAASIU,0,1)</f>
        <v>1523.28</v>
      </c>
      <c r="I854">
        <f>SALESTABLE[[#This Row],[Revenue]]-SALESTABLE[[#This Row],[COST]]</f>
        <v>382.68000000000006</v>
      </c>
      <c r="J854">
        <f>SALESTABLE[[#This Row],[PROFIT]]/SALESTABLE[[#This Row],[Revenue]]*100</f>
        <v>20.078070893408047</v>
      </c>
    </row>
    <row r="855" spans="1:10" x14ac:dyDescent="0.35">
      <c r="A855" t="s">
        <v>989</v>
      </c>
      <c r="B855" s="4">
        <v>45120</v>
      </c>
      <c r="C855" t="s">
        <v>48</v>
      </c>
      <c r="D855" t="s">
        <v>28</v>
      </c>
      <c r="E855">
        <v>5</v>
      </c>
      <c r="F855">
        <v>15</v>
      </c>
      <c r="G855" cm="1">
        <f t="array" ref="G855">SALESTABLE[[#This Row],[Quantity]]*_xlfn.XLOOKUP(SALESTABLE[[#This Row],[Product_ID]],ProductsTable[Product_ID],ProductsTable[Unit_Price],WAASIU,0,1)</f>
        <v>2127.4</v>
      </c>
      <c r="H855" cm="1">
        <f t="array" ref="H855">SALESTABLE[[#This Row],[Quantity]]*_xlfn.XLOOKUP(SALESTABLE[[#This Row],[Product_ID]],ProductsTable[Product_ID],ProductsTable[Cost_Price],WAASIU,0,1)</f>
        <v>1167.3999999999999</v>
      </c>
      <c r="I855">
        <f>SALESTABLE[[#This Row],[Revenue]]-SALESTABLE[[#This Row],[COST]]</f>
        <v>960.00000000000023</v>
      </c>
      <c r="J855">
        <f>SALESTABLE[[#This Row],[PROFIT]]/SALESTABLE[[#This Row],[Revenue]]*100</f>
        <v>45.125505311648027</v>
      </c>
    </row>
    <row r="856" spans="1:10" x14ac:dyDescent="0.35">
      <c r="A856" t="s">
        <v>990</v>
      </c>
      <c r="B856" s="4">
        <v>45491</v>
      </c>
      <c r="C856" t="s">
        <v>63</v>
      </c>
      <c r="D856" t="s">
        <v>77</v>
      </c>
      <c r="E856">
        <v>1</v>
      </c>
      <c r="F856">
        <v>20</v>
      </c>
      <c r="G856" cm="1">
        <f t="array" ref="G856">SALESTABLE[[#This Row],[Quantity]]*_xlfn.XLOOKUP(SALESTABLE[[#This Row],[Product_ID]],ProductsTable[Product_ID],ProductsTable[Unit_Price],WAASIU,0,1)</f>
        <v>91.8</v>
      </c>
      <c r="H856" cm="1">
        <f t="array" ref="H856">SALESTABLE[[#This Row],[Quantity]]*_xlfn.XLOOKUP(SALESTABLE[[#This Row],[Product_ID]],ProductsTable[Product_ID],ProductsTable[Cost_Price],WAASIU,0,1)</f>
        <v>48.97</v>
      </c>
      <c r="I856">
        <f>SALESTABLE[[#This Row],[Revenue]]-SALESTABLE[[#This Row],[COST]]</f>
        <v>42.83</v>
      </c>
      <c r="J856">
        <f>SALESTABLE[[#This Row],[PROFIT]]/SALESTABLE[[#This Row],[Revenue]]*100</f>
        <v>46.655773420479299</v>
      </c>
    </row>
    <row r="857" spans="1:10" x14ac:dyDescent="0.35">
      <c r="A857" t="s">
        <v>991</v>
      </c>
      <c r="B857" s="4">
        <v>45151</v>
      </c>
      <c r="C857" t="s">
        <v>96</v>
      </c>
      <c r="D857" t="s">
        <v>31</v>
      </c>
      <c r="E857">
        <v>20</v>
      </c>
      <c r="F857">
        <v>20</v>
      </c>
      <c r="G857" cm="1">
        <f t="array" ref="G857">SALESTABLE[[#This Row],[Quantity]]*_xlfn.XLOOKUP(SALESTABLE[[#This Row],[Product_ID]],ProductsTable[Product_ID],ProductsTable[Unit_Price],WAASIU,0,1)</f>
        <v>3462.7999999999997</v>
      </c>
      <c r="H857" cm="1">
        <f t="array" ref="H857">SALESTABLE[[#This Row],[Quantity]]*_xlfn.XLOOKUP(SALESTABLE[[#This Row],[Product_ID]],ProductsTable[Product_ID],ProductsTable[Cost_Price],WAASIU,0,1)</f>
        <v>2005.8000000000002</v>
      </c>
      <c r="I857">
        <f>SALESTABLE[[#This Row],[Revenue]]-SALESTABLE[[#This Row],[COST]]</f>
        <v>1456.9999999999995</v>
      </c>
      <c r="J857">
        <f>SALESTABLE[[#This Row],[PROFIT]]/SALESTABLE[[#This Row],[Revenue]]*100</f>
        <v>42.07577682800045</v>
      </c>
    </row>
    <row r="858" spans="1:10" x14ac:dyDescent="0.35">
      <c r="A858" t="s">
        <v>992</v>
      </c>
      <c r="B858" s="4">
        <v>45493</v>
      </c>
      <c r="C858" t="s">
        <v>366</v>
      </c>
      <c r="D858" t="s">
        <v>248</v>
      </c>
      <c r="E858">
        <v>6</v>
      </c>
      <c r="F858">
        <v>10</v>
      </c>
      <c r="G858" cm="1">
        <f t="array" ref="G858">SALESTABLE[[#This Row],[Quantity]]*_xlfn.XLOOKUP(SALESTABLE[[#This Row],[Product_ID]],ProductsTable[Product_ID],ProductsTable[Unit_Price],WAASIU,0,1)</f>
        <v>1120.26</v>
      </c>
      <c r="H858" cm="1">
        <f t="array" ref="H858">SALESTABLE[[#This Row],[Quantity]]*_xlfn.XLOOKUP(SALESTABLE[[#This Row],[Product_ID]],ProductsTable[Product_ID],ProductsTable[Cost_Price],WAASIU,0,1)</f>
        <v>751.14</v>
      </c>
      <c r="I858">
        <f>SALESTABLE[[#This Row],[Revenue]]-SALESTABLE[[#This Row],[COST]]</f>
        <v>369.12</v>
      </c>
      <c r="J858">
        <f>SALESTABLE[[#This Row],[PROFIT]]/SALESTABLE[[#This Row],[Revenue]]*100</f>
        <v>32.949493867495043</v>
      </c>
    </row>
    <row r="859" spans="1:10" x14ac:dyDescent="0.35">
      <c r="A859" t="s">
        <v>993</v>
      </c>
      <c r="B859" s="4">
        <v>45462</v>
      </c>
      <c r="C859" t="s">
        <v>602</v>
      </c>
      <c r="D859" t="s">
        <v>49</v>
      </c>
      <c r="E859">
        <v>18</v>
      </c>
      <c r="F859">
        <v>15</v>
      </c>
      <c r="G859" cm="1">
        <f t="array" ref="G859">SALESTABLE[[#This Row],[Quantity]]*_xlfn.XLOOKUP(SALESTABLE[[#This Row],[Product_ID]],ProductsTable[Product_ID],ProductsTable[Unit_Price],WAASIU,0,1)</f>
        <v>4133.34</v>
      </c>
      <c r="H859" cm="1">
        <f t="array" ref="H859">SALESTABLE[[#This Row],[Quantity]]*_xlfn.XLOOKUP(SALESTABLE[[#This Row],[Product_ID]],ProductsTable[Product_ID],ProductsTable[Cost_Price],WAASIU,0,1)</f>
        <v>2365.56</v>
      </c>
      <c r="I859">
        <f>SALESTABLE[[#This Row],[Revenue]]-SALESTABLE[[#This Row],[COST]]</f>
        <v>1767.7800000000002</v>
      </c>
      <c r="J859">
        <f>SALESTABLE[[#This Row],[PROFIT]]/SALESTABLE[[#This Row],[Revenue]]*100</f>
        <v>42.76880198580325</v>
      </c>
    </row>
    <row r="860" spans="1:10" x14ac:dyDescent="0.35">
      <c r="A860" t="s">
        <v>994</v>
      </c>
      <c r="B860" s="4">
        <v>45138</v>
      </c>
      <c r="C860" t="s">
        <v>36</v>
      </c>
      <c r="D860" t="s">
        <v>16</v>
      </c>
      <c r="E860">
        <v>11</v>
      </c>
      <c r="F860">
        <v>10</v>
      </c>
      <c r="G860" cm="1">
        <f t="array" ref="G860">SALESTABLE[[#This Row],[Quantity]]*_xlfn.XLOOKUP(SALESTABLE[[#This Row],[Product_ID]],ProductsTable[Product_ID],ProductsTable[Unit_Price],WAASIU,0,1)</f>
        <v>3983.8700000000003</v>
      </c>
      <c r="H860" cm="1">
        <f t="array" ref="H860">SALESTABLE[[#This Row],[Quantity]]*_xlfn.XLOOKUP(SALESTABLE[[#This Row],[Product_ID]],ProductsTable[Product_ID],ProductsTable[Cost_Price],WAASIU,0,1)</f>
        <v>2567.1799999999998</v>
      </c>
      <c r="I860">
        <f>SALESTABLE[[#This Row],[Revenue]]-SALESTABLE[[#This Row],[COST]]</f>
        <v>1416.6900000000005</v>
      </c>
      <c r="J860">
        <f>SALESTABLE[[#This Row],[PROFIT]]/SALESTABLE[[#This Row],[Revenue]]*100</f>
        <v>35.560648314327537</v>
      </c>
    </row>
    <row r="861" spans="1:10" x14ac:dyDescent="0.35">
      <c r="A861" t="s">
        <v>995</v>
      </c>
      <c r="B861" s="4">
        <v>45447</v>
      </c>
      <c r="C861" t="s">
        <v>257</v>
      </c>
      <c r="D861" t="s">
        <v>52</v>
      </c>
      <c r="E861">
        <v>14</v>
      </c>
      <c r="F861">
        <v>5</v>
      </c>
      <c r="G861" cm="1">
        <f t="array" ref="G861">SALESTABLE[[#This Row],[Quantity]]*_xlfn.XLOOKUP(SALESTABLE[[#This Row],[Product_ID]],ProductsTable[Product_ID],ProductsTable[Unit_Price],WAASIU,0,1)</f>
        <v>2572.92</v>
      </c>
      <c r="H861" cm="1">
        <f t="array" ref="H861">SALESTABLE[[#This Row],[Quantity]]*_xlfn.XLOOKUP(SALESTABLE[[#This Row],[Product_ID]],ProductsTable[Product_ID],ProductsTable[Cost_Price],WAASIU,0,1)</f>
        <v>1618.82</v>
      </c>
      <c r="I861">
        <f>SALESTABLE[[#This Row],[Revenue]]-SALESTABLE[[#This Row],[COST]]</f>
        <v>954.10000000000014</v>
      </c>
      <c r="J861">
        <f>SALESTABLE[[#This Row],[PROFIT]]/SALESTABLE[[#This Row],[Revenue]]*100</f>
        <v>37.082381107846338</v>
      </c>
    </row>
    <row r="862" spans="1:10" x14ac:dyDescent="0.35">
      <c r="A862" t="s">
        <v>996</v>
      </c>
      <c r="B862" s="4">
        <v>45381</v>
      </c>
      <c r="C862" t="s">
        <v>289</v>
      </c>
      <c r="D862" t="s">
        <v>19</v>
      </c>
      <c r="E862">
        <v>16</v>
      </c>
      <c r="F862">
        <v>5</v>
      </c>
      <c r="G862" cm="1">
        <f t="array" ref="G862">SALESTABLE[[#This Row],[Quantity]]*_xlfn.XLOOKUP(SALESTABLE[[#This Row],[Product_ID]],ProductsTable[Product_ID],ProductsTable[Unit_Price],WAASIU,0,1)</f>
        <v>972.16</v>
      </c>
      <c r="H862" cm="1">
        <f t="array" ref="H862">SALESTABLE[[#This Row],[Quantity]]*_xlfn.XLOOKUP(SALESTABLE[[#This Row],[Product_ID]],ProductsTable[Product_ID],ProductsTable[Cost_Price],WAASIU,0,1)</f>
        <v>647.20000000000005</v>
      </c>
      <c r="I862">
        <f>SALESTABLE[[#This Row],[Revenue]]-SALESTABLE[[#This Row],[COST]]</f>
        <v>324.95999999999992</v>
      </c>
      <c r="J862">
        <f>SALESTABLE[[#This Row],[PROFIT]]/SALESTABLE[[#This Row],[Revenue]]*100</f>
        <v>33.426596445029617</v>
      </c>
    </row>
    <row r="863" spans="1:10" x14ac:dyDescent="0.35">
      <c r="A863" t="s">
        <v>997</v>
      </c>
      <c r="B863" s="4">
        <v>45229</v>
      </c>
      <c r="C863" t="s">
        <v>92</v>
      </c>
      <c r="D863" t="s">
        <v>19</v>
      </c>
      <c r="E863">
        <v>11</v>
      </c>
      <c r="F863">
        <v>5</v>
      </c>
      <c r="G863" cm="1">
        <f t="array" ref="G863">SALESTABLE[[#This Row],[Quantity]]*_xlfn.XLOOKUP(SALESTABLE[[#This Row],[Product_ID]],ProductsTable[Product_ID],ProductsTable[Unit_Price],WAASIU,0,1)</f>
        <v>668.36</v>
      </c>
      <c r="H863" cm="1">
        <f t="array" ref="H863">SALESTABLE[[#This Row],[Quantity]]*_xlfn.XLOOKUP(SALESTABLE[[#This Row],[Product_ID]],ProductsTable[Product_ID],ProductsTable[Cost_Price],WAASIU,0,1)</f>
        <v>444.95000000000005</v>
      </c>
      <c r="I863">
        <f>SALESTABLE[[#This Row],[Revenue]]-SALESTABLE[[#This Row],[COST]]</f>
        <v>223.40999999999997</v>
      </c>
      <c r="J863">
        <f>SALESTABLE[[#This Row],[PROFIT]]/SALESTABLE[[#This Row],[Revenue]]*100</f>
        <v>33.426596445029624</v>
      </c>
    </row>
    <row r="864" spans="1:10" x14ac:dyDescent="0.35">
      <c r="A864" t="s">
        <v>998</v>
      </c>
      <c r="B864" s="4">
        <v>45245</v>
      </c>
      <c r="C864" t="s">
        <v>306</v>
      </c>
      <c r="D864" t="s">
        <v>44</v>
      </c>
      <c r="E864">
        <v>12</v>
      </c>
      <c r="F864">
        <v>5</v>
      </c>
      <c r="G864" cm="1">
        <f t="array" ref="G864">SALESTABLE[[#This Row],[Quantity]]*_xlfn.XLOOKUP(SALESTABLE[[#This Row],[Product_ID]],ProductsTable[Product_ID],ProductsTable[Unit_Price],WAASIU,0,1)</f>
        <v>1610.28</v>
      </c>
      <c r="H864" cm="1">
        <f t="array" ref="H864">SALESTABLE[[#This Row],[Quantity]]*_xlfn.XLOOKUP(SALESTABLE[[#This Row],[Product_ID]],ProductsTable[Product_ID],ProductsTable[Cost_Price],WAASIU,0,1)</f>
        <v>999.83999999999992</v>
      </c>
      <c r="I864">
        <f>SALESTABLE[[#This Row],[Revenue]]-SALESTABLE[[#This Row],[COST]]</f>
        <v>610.44000000000005</v>
      </c>
      <c r="J864">
        <f>SALESTABLE[[#This Row],[PROFIT]]/SALESTABLE[[#This Row],[Revenue]]*100</f>
        <v>37.908935092033687</v>
      </c>
    </row>
    <row r="865" spans="1:10" x14ac:dyDescent="0.35">
      <c r="A865" t="s">
        <v>999</v>
      </c>
      <c r="B865" s="4">
        <v>45443</v>
      </c>
      <c r="C865" t="s">
        <v>284</v>
      </c>
      <c r="D865" t="s">
        <v>97</v>
      </c>
      <c r="E865">
        <v>2</v>
      </c>
      <c r="F865">
        <v>5</v>
      </c>
      <c r="G865" cm="1">
        <f t="array" ref="G865">SALESTABLE[[#This Row],[Quantity]]*_xlfn.XLOOKUP(SALESTABLE[[#This Row],[Product_ID]],ProductsTable[Product_ID],ProductsTable[Unit_Price],WAASIU,0,1)</f>
        <v>620.41999999999996</v>
      </c>
      <c r="H865" cm="1">
        <f t="array" ref="H865">SALESTABLE[[#This Row],[Quantity]]*_xlfn.XLOOKUP(SALESTABLE[[#This Row],[Product_ID]],ProductsTable[Product_ID],ProductsTable[Cost_Price],WAASIU,0,1)</f>
        <v>450.58</v>
      </c>
      <c r="I865">
        <f>SALESTABLE[[#This Row],[Revenue]]-SALESTABLE[[#This Row],[COST]]</f>
        <v>169.83999999999997</v>
      </c>
      <c r="J865">
        <f>SALESTABLE[[#This Row],[PROFIT]]/SALESTABLE[[#This Row],[Revenue]]*100</f>
        <v>27.375004029528384</v>
      </c>
    </row>
    <row r="866" spans="1:10" x14ac:dyDescent="0.35">
      <c r="A866" t="s">
        <v>1000</v>
      </c>
      <c r="B866" s="4">
        <v>44933</v>
      </c>
      <c r="C866" t="s">
        <v>306</v>
      </c>
      <c r="D866" t="s">
        <v>31</v>
      </c>
      <c r="E866">
        <v>4</v>
      </c>
      <c r="F866">
        <v>0</v>
      </c>
      <c r="G866" cm="1">
        <f t="array" ref="G866">SALESTABLE[[#This Row],[Quantity]]*_xlfn.XLOOKUP(SALESTABLE[[#This Row],[Product_ID]],ProductsTable[Product_ID],ProductsTable[Unit_Price],WAASIU,0,1)</f>
        <v>692.56</v>
      </c>
      <c r="H866" cm="1">
        <f t="array" ref="H866">SALESTABLE[[#This Row],[Quantity]]*_xlfn.XLOOKUP(SALESTABLE[[#This Row],[Product_ID]],ProductsTable[Product_ID],ProductsTable[Cost_Price],WAASIU,0,1)</f>
        <v>401.16</v>
      </c>
      <c r="I866">
        <f>SALESTABLE[[#This Row],[Revenue]]-SALESTABLE[[#This Row],[COST]]</f>
        <v>291.39999999999992</v>
      </c>
      <c r="J866">
        <f>SALESTABLE[[#This Row],[PROFIT]]/SALESTABLE[[#This Row],[Revenue]]*100</f>
        <v>42.075776828000457</v>
      </c>
    </row>
    <row r="867" spans="1:10" x14ac:dyDescent="0.35">
      <c r="A867" t="s">
        <v>1001</v>
      </c>
      <c r="B867" s="4">
        <v>45175</v>
      </c>
      <c r="C867" t="s">
        <v>15</v>
      </c>
      <c r="D867" t="s">
        <v>41</v>
      </c>
      <c r="E867">
        <v>16</v>
      </c>
      <c r="F867">
        <v>15</v>
      </c>
      <c r="G867" cm="1">
        <f t="array" ref="G867">SALESTABLE[[#This Row],[Quantity]]*_xlfn.XLOOKUP(SALESTABLE[[#This Row],[Product_ID]],ProductsTable[Product_ID],ProductsTable[Unit_Price],WAASIU,0,1)</f>
        <v>6812</v>
      </c>
      <c r="H867" cm="1">
        <f t="array" ref="H867">SALESTABLE[[#This Row],[Quantity]]*_xlfn.XLOOKUP(SALESTABLE[[#This Row],[Product_ID]],ProductsTable[Product_ID],ProductsTable[Cost_Price],WAASIU,0,1)</f>
        <v>3890.08</v>
      </c>
      <c r="I867">
        <f>SALESTABLE[[#This Row],[Revenue]]-SALESTABLE[[#This Row],[COST]]</f>
        <v>2921.92</v>
      </c>
      <c r="J867">
        <f>SALESTABLE[[#This Row],[PROFIT]]/SALESTABLE[[#This Row],[Revenue]]*100</f>
        <v>42.89371697005285</v>
      </c>
    </row>
    <row r="868" spans="1:10" x14ac:dyDescent="0.35">
      <c r="A868" t="s">
        <v>1002</v>
      </c>
      <c r="B868" s="4">
        <v>44979</v>
      </c>
      <c r="C868" t="s">
        <v>171</v>
      </c>
      <c r="D868" t="s">
        <v>133</v>
      </c>
      <c r="E868">
        <v>3</v>
      </c>
      <c r="F868">
        <v>5</v>
      </c>
      <c r="G868" cm="1">
        <f t="array" ref="G868">SALESTABLE[[#This Row],[Quantity]]*_xlfn.XLOOKUP(SALESTABLE[[#This Row],[Product_ID]],ProductsTable[Product_ID],ProductsTable[Unit_Price],WAASIU,0,1)</f>
        <v>1053</v>
      </c>
      <c r="H868" cm="1">
        <f t="array" ref="H868">SALESTABLE[[#This Row],[Quantity]]*_xlfn.XLOOKUP(SALESTABLE[[#This Row],[Product_ID]],ProductsTable[Product_ID],ProductsTable[Cost_Price],WAASIU,0,1)</f>
        <v>700.89</v>
      </c>
      <c r="I868">
        <f>SALESTABLE[[#This Row],[Revenue]]-SALESTABLE[[#This Row],[COST]]</f>
        <v>352.11</v>
      </c>
      <c r="J868">
        <f>SALESTABLE[[#This Row],[PROFIT]]/SALESTABLE[[#This Row],[Revenue]]*100</f>
        <v>33.438746438746442</v>
      </c>
    </row>
    <row r="869" spans="1:10" x14ac:dyDescent="0.35">
      <c r="A869" t="s">
        <v>1003</v>
      </c>
      <c r="B869" s="4">
        <v>45608</v>
      </c>
      <c r="C869" t="s">
        <v>318</v>
      </c>
      <c r="D869" t="s">
        <v>133</v>
      </c>
      <c r="E869">
        <v>14</v>
      </c>
      <c r="F869">
        <v>20</v>
      </c>
      <c r="G869" cm="1">
        <f t="array" ref="G869">SALESTABLE[[#This Row],[Quantity]]*_xlfn.XLOOKUP(SALESTABLE[[#This Row],[Product_ID]],ProductsTable[Product_ID],ProductsTable[Unit_Price],WAASIU,0,1)</f>
        <v>4914</v>
      </c>
      <c r="H869" cm="1">
        <f t="array" ref="H869">SALESTABLE[[#This Row],[Quantity]]*_xlfn.XLOOKUP(SALESTABLE[[#This Row],[Product_ID]],ProductsTable[Product_ID],ProductsTable[Cost_Price],WAASIU,0,1)</f>
        <v>3270.8199999999997</v>
      </c>
      <c r="I869">
        <f>SALESTABLE[[#This Row],[Revenue]]-SALESTABLE[[#This Row],[COST]]</f>
        <v>1643.1800000000003</v>
      </c>
      <c r="J869">
        <f>SALESTABLE[[#This Row],[PROFIT]]/SALESTABLE[[#This Row],[Revenue]]*100</f>
        <v>33.438746438746449</v>
      </c>
    </row>
    <row r="870" spans="1:10" x14ac:dyDescent="0.35">
      <c r="A870" t="s">
        <v>1004</v>
      </c>
      <c r="B870" s="4">
        <v>45175</v>
      </c>
      <c r="C870" t="s">
        <v>76</v>
      </c>
      <c r="D870" t="s">
        <v>137</v>
      </c>
      <c r="E870">
        <v>5</v>
      </c>
      <c r="F870">
        <v>20</v>
      </c>
      <c r="G870" cm="1">
        <f t="array" ref="G870">SALESTABLE[[#This Row],[Quantity]]*_xlfn.XLOOKUP(SALESTABLE[[#This Row],[Product_ID]],ProductsTable[Product_ID],ProductsTable[Unit_Price],WAASIU,0,1)</f>
        <v>1817.2</v>
      </c>
      <c r="H870" cm="1">
        <f t="array" ref="H870">SALESTABLE[[#This Row],[Quantity]]*_xlfn.XLOOKUP(SALESTABLE[[#This Row],[Product_ID]],ProductsTable[Product_ID],ProductsTable[Cost_Price],WAASIU,0,1)</f>
        <v>1250.25</v>
      </c>
      <c r="I870">
        <f>SALESTABLE[[#This Row],[Revenue]]-SALESTABLE[[#This Row],[COST]]</f>
        <v>566.95000000000005</v>
      </c>
      <c r="J870">
        <f>SALESTABLE[[#This Row],[PROFIT]]/SALESTABLE[[#This Row],[Revenue]]*100</f>
        <v>31.199097512656838</v>
      </c>
    </row>
    <row r="871" spans="1:10" x14ac:dyDescent="0.35">
      <c r="A871" t="s">
        <v>1005</v>
      </c>
      <c r="B871" s="4">
        <v>45188</v>
      </c>
      <c r="C871" t="s">
        <v>33</v>
      </c>
      <c r="D871" t="s">
        <v>13</v>
      </c>
      <c r="E871">
        <v>6</v>
      </c>
      <c r="F871">
        <v>10</v>
      </c>
      <c r="G871" cm="1">
        <f t="array" ref="G871">SALESTABLE[[#This Row],[Quantity]]*_xlfn.XLOOKUP(SALESTABLE[[#This Row],[Product_ID]],ProductsTable[Product_ID],ProductsTable[Unit_Price],WAASIU,0,1)</f>
        <v>2611.08</v>
      </c>
      <c r="H871" cm="1">
        <f t="array" ref="H871">SALESTABLE[[#This Row],[Quantity]]*_xlfn.XLOOKUP(SALESTABLE[[#This Row],[Product_ID]],ProductsTable[Product_ID],ProductsTable[Cost_Price],WAASIU,0,1)</f>
        <v>1385.6999999999998</v>
      </c>
      <c r="I871">
        <f>SALESTABLE[[#This Row],[Revenue]]-SALESTABLE[[#This Row],[COST]]</f>
        <v>1225.3800000000001</v>
      </c>
      <c r="J871">
        <f>SALESTABLE[[#This Row],[PROFIT]]/SALESTABLE[[#This Row],[Revenue]]*100</f>
        <v>46.930005974539277</v>
      </c>
    </row>
    <row r="872" spans="1:10" x14ac:dyDescent="0.35">
      <c r="A872" t="s">
        <v>1006</v>
      </c>
      <c r="B872" s="4">
        <v>45044</v>
      </c>
      <c r="C872" t="s">
        <v>154</v>
      </c>
      <c r="D872" t="s">
        <v>13</v>
      </c>
      <c r="E872">
        <v>13</v>
      </c>
      <c r="F872">
        <v>10</v>
      </c>
      <c r="G872" cm="1">
        <f t="array" ref="G872">SALESTABLE[[#This Row],[Quantity]]*_xlfn.XLOOKUP(SALESTABLE[[#This Row],[Product_ID]],ProductsTable[Product_ID],ProductsTable[Unit_Price],WAASIU,0,1)</f>
        <v>5657.34</v>
      </c>
      <c r="H872" cm="1">
        <f t="array" ref="H872">SALESTABLE[[#This Row],[Quantity]]*_xlfn.XLOOKUP(SALESTABLE[[#This Row],[Product_ID]],ProductsTable[Product_ID],ProductsTable[Cost_Price],WAASIU,0,1)</f>
        <v>3002.35</v>
      </c>
      <c r="I872">
        <f>SALESTABLE[[#This Row],[Revenue]]-SALESTABLE[[#This Row],[COST]]</f>
        <v>2654.9900000000002</v>
      </c>
      <c r="J872">
        <f>SALESTABLE[[#This Row],[PROFIT]]/SALESTABLE[[#This Row],[Revenue]]*100</f>
        <v>46.930005974539277</v>
      </c>
    </row>
    <row r="873" spans="1:10" x14ac:dyDescent="0.35">
      <c r="A873" t="s">
        <v>1007</v>
      </c>
      <c r="B873" s="4">
        <v>45096</v>
      </c>
      <c r="C873" t="s">
        <v>415</v>
      </c>
      <c r="D873" t="s">
        <v>110</v>
      </c>
      <c r="E873">
        <v>18</v>
      </c>
      <c r="F873">
        <v>0</v>
      </c>
      <c r="G873" cm="1">
        <f t="array" ref="G873">SALESTABLE[[#This Row],[Quantity]]*_xlfn.XLOOKUP(SALESTABLE[[#This Row],[Product_ID]],ProductsTable[Product_ID],ProductsTable[Unit_Price],WAASIU,0,1)</f>
        <v>8843.76</v>
      </c>
      <c r="H873" cm="1">
        <f t="array" ref="H873">SALESTABLE[[#This Row],[Quantity]]*_xlfn.XLOOKUP(SALESTABLE[[#This Row],[Product_ID]],ProductsTable[Product_ID],ProductsTable[Cost_Price],WAASIU,0,1)</f>
        <v>4825.9800000000005</v>
      </c>
      <c r="I873">
        <f>SALESTABLE[[#This Row],[Revenue]]-SALESTABLE[[#This Row],[COST]]</f>
        <v>4017.7799999999997</v>
      </c>
      <c r="J873">
        <f>SALESTABLE[[#This Row],[PROFIT]]/SALESTABLE[[#This Row],[Revenue]]*100</f>
        <v>45.430676544818041</v>
      </c>
    </row>
    <row r="874" spans="1:10" x14ac:dyDescent="0.35">
      <c r="A874" t="s">
        <v>1008</v>
      </c>
      <c r="B874" s="4">
        <v>45293</v>
      </c>
      <c r="C874" t="s">
        <v>48</v>
      </c>
      <c r="D874" t="s">
        <v>125</v>
      </c>
      <c r="E874">
        <v>13</v>
      </c>
      <c r="F874">
        <v>0</v>
      </c>
      <c r="G874" cm="1">
        <f t="array" ref="G874">SALESTABLE[[#This Row],[Quantity]]*_xlfn.XLOOKUP(SALESTABLE[[#This Row],[Product_ID]],ProductsTable[Product_ID],ProductsTable[Unit_Price],WAASIU,0,1)</f>
        <v>4351.0999999999995</v>
      </c>
      <c r="H874" cm="1">
        <f t="array" ref="H874">SALESTABLE[[#This Row],[Quantity]]*_xlfn.XLOOKUP(SALESTABLE[[#This Row],[Product_ID]],ProductsTable[Product_ID],ProductsTable[Cost_Price],WAASIU,0,1)</f>
        <v>3243.76</v>
      </c>
      <c r="I874">
        <f>SALESTABLE[[#This Row],[Revenue]]-SALESTABLE[[#This Row],[COST]]</f>
        <v>1107.3399999999992</v>
      </c>
      <c r="J874">
        <f>SALESTABLE[[#This Row],[PROFIT]]/SALESTABLE[[#This Row],[Revenue]]*100</f>
        <v>25.449656408724213</v>
      </c>
    </row>
    <row r="875" spans="1:10" x14ac:dyDescent="0.35">
      <c r="A875" t="s">
        <v>1009</v>
      </c>
      <c r="B875" s="4">
        <v>45164</v>
      </c>
      <c r="C875" t="s">
        <v>96</v>
      </c>
      <c r="D875" t="s">
        <v>113</v>
      </c>
      <c r="E875">
        <v>5</v>
      </c>
      <c r="F875">
        <v>5</v>
      </c>
      <c r="G875" cm="1">
        <f t="array" ref="G875">SALESTABLE[[#This Row],[Quantity]]*_xlfn.XLOOKUP(SALESTABLE[[#This Row],[Product_ID]],ProductsTable[Product_ID],ProductsTable[Unit_Price],WAASIU,0,1)</f>
        <v>1685.4499999999998</v>
      </c>
      <c r="H875" cm="1">
        <f t="array" ref="H875">SALESTABLE[[#This Row],[Quantity]]*_xlfn.XLOOKUP(SALESTABLE[[#This Row],[Product_ID]],ProductsTable[Product_ID],ProductsTable[Cost_Price],WAASIU,0,1)</f>
        <v>932.05</v>
      </c>
      <c r="I875">
        <f>SALESTABLE[[#This Row],[Revenue]]-SALESTABLE[[#This Row],[COST]]</f>
        <v>753.39999999999986</v>
      </c>
      <c r="J875">
        <f>SALESTABLE[[#This Row],[PROFIT]]/SALESTABLE[[#This Row],[Revenue]]*100</f>
        <v>44.700228425643004</v>
      </c>
    </row>
    <row r="876" spans="1:10" x14ac:dyDescent="0.35">
      <c r="A876" t="s">
        <v>1010</v>
      </c>
      <c r="B876" s="4">
        <v>45532</v>
      </c>
      <c r="C876" t="s">
        <v>179</v>
      </c>
      <c r="D876" t="s">
        <v>127</v>
      </c>
      <c r="E876">
        <v>7</v>
      </c>
      <c r="F876">
        <v>5</v>
      </c>
      <c r="G876" cm="1">
        <f t="array" ref="G876">SALESTABLE[[#This Row],[Quantity]]*_xlfn.XLOOKUP(SALESTABLE[[#This Row],[Product_ID]],ProductsTable[Product_ID],ProductsTable[Unit_Price],WAASIU,0,1)</f>
        <v>644.49</v>
      </c>
      <c r="H876" cm="1">
        <f t="array" ref="H876">SALESTABLE[[#This Row],[Quantity]]*_xlfn.XLOOKUP(SALESTABLE[[#This Row],[Product_ID]],ProductsTable[Product_ID],ProductsTable[Cost_Price],WAASIU,0,1)</f>
        <v>394.52</v>
      </c>
      <c r="I876">
        <f>SALESTABLE[[#This Row],[Revenue]]-SALESTABLE[[#This Row],[COST]]</f>
        <v>249.97000000000003</v>
      </c>
      <c r="J876">
        <f>SALESTABLE[[#This Row],[PROFIT]]/SALESTABLE[[#This Row],[Revenue]]*100</f>
        <v>38.78570652764202</v>
      </c>
    </row>
    <row r="877" spans="1:10" x14ac:dyDescent="0.35">
      <c r="A877" t="s">
        <v>1011</v>
      </c>
      <c r="B877" s="4">
        <v>45132</v>
      </c>
      <c r="C877" t="s">
        <v>304</v>
      </c>
      <c r="D877" t="s">
        <v>110</v>
      </c>
      <c r="E877">
        <v>19</v>
      </c>
      <c r="F877">
        <v>0</v>
      </c>
      <c r="G877" cm="1">
        <f t="array" ref="G877">SALESTABLE[[#This Row],[Quantity]]*_xlfn.XLOOKUP(SALESTABLE[[#This Row],[Product_ID]],ProductsTable[Product_ID],ProductsTable[Unit_Price],WAASIU,0,1)</f>
        <v>9335.08</v>
      </c>
      <c r="H877" cm="1">
        <f t="array" ref="H877">SALESTABLE[[#This Row],[Quantity]]*_xlfn.XLOOKUP(SALESTABLE[[#This Row],[Product_ID]],ProductsTable[Product_ID],ProductsTable[Cost_Price],WAASIU,0,1)</f>
        <v>5094.09</v>
      </c>
      <c r="I877">
        <f>SALESTABLE[[#This Row],[Revenue]]-SALESTABLE[[#This Row],[COST]]</f>
        <v>4240.99</v>
      </c>
      <c r="J877">
        <f>SALESTABLE[[#This Row],[PROFIT]]/SALESTABLE[[#This Row],[Revenue]]*100</f>
        <v>45.430676544818041</v>
      </c>
    </row>
    <row r="878" spans="1:10" x14ac:dyDescent="0.35">
      <c r="A878" t="s">
        <v>1012</v>
      </c>
      <c r="B878" s="4">
        <v>45348</v>
      </c>
      <c r="C878" t="s">
        <v>184</v>
      </c>
      <c r="D878" t="s">
        <v>28</v>
      </c>
      <c r="E878">
        <v>3</v>
      </c>
      <c r="F878">
        <v>10</v>
      </c>
      <c r="G878" cm="1">
        <f t="array" ref="G878">SALESTABLE[[#This Row],[Quantity]]*_xlfn.XLOOKUP(SALESTABLE[[#This Row],[Product_ID]],ProductsTable[Product_ID],ProductsTable[Unit_Price],WAASIU,0,1)</f>
        <v>1276.44</v>
      </c>
      <c r="H878" cm="1">
        <f t="array" ref="H878">SALESTABLE[[#This Row],[Quantity]]*_xlfn.XLOOKUP(SALESTABLE[[#This Row],[Product_ID]],ProductsTable[Product_ID],ProductsTable[Cost_Price],WAASIU,0,1)</f>
        <v>700.43999999999994</v>
      </c>
      <c r="I878">
        <f>SALESTABLE[[#This Row],[Revenue]]-SALESTABLE[[#This Row],[COST]]</f>
        <v>576.00000000000011</v>
      </c>
      <c r="J878">
        <f>SALESTABLE[[#This Row],[PROFIT]]/SALESTABLE[[#This Row],[Revenue]]*100</f>
        <v>45.125505311648027</v>
      </c>
    </row>
    <row r="879" spans="1:10" x14ac:dyDescent="0.35">
      <c r="A879" t="s">
        <v>1013</v>
      </c>
      <c r="B879" s="4">
        <v>45241</v>
      </c>
      <c r="C879" t="s">
        <v>33</v>
      </c>
      <c r="D879" t="s">
        <v>41</v>
      </c>
      <c r="E879">
        <v>1</v>
      </c>
      <c r="F879">
        <v>0</v>
      </c>
      <c r="G879" cm="1">
        <f t="array" ref="G879">SALESTABLE[[#This Row],[Quantity]]*_xlfn.XLOOKUP(SALESTABLE[[#This Row],[Product_ID]],ProductsTable[Product_ID],ProductsTable[Unit_Price],WAASIU,0,1)</f>
        <v>425.75</v>
      </c>
      <c r="H879" cm="1">
        <f t="array" ref="H879">SALESTABLE[[#This Row],[Quantity]]*_xlfn.XLOOKUP(SALESTABLE[[#This Row],[Product_ID]],ProductsTable[Product_ID],ProductsTable[Cost_Price],WAASIU,0,1)</f>
        <v>243.13</v>
      </c>
      <c r="I879">
        <f>SALESTABLE[[#This Row],[Revenue]]-SALESTABLE[[#This Row],[COST]]</f>
        <v>182.62</v>
      </c>
      <c r="J879">
        <f>SALESTABLE[[#This Row],[PROFIT]]/SALESTABLE[[#This Row],[Revenue]]*100</f>
        <v>42.89371697005285</v>
      </c>
    </row>
    <row r="880" spans="1:10" x14ac:dyDescent="0.35">
      <c r="A880" t="s">
        <v>1014</v>
      </c>
      <c r="B880" s="4">
        <v>45415</v>
      </c>
      <c r="C880" t="s">
        <v>144</v>
      </c>
      <c r="D880" t="s">
        <v>139</v>
      </c>
      <c r="E880">
        <v>18</v>
      </c>
      <c r="F880">
        <v>20</v>
      </c>
      <c r="G880" cm="1">
        <f t="array" ref="G880">SALESTABLE[[#This Row],[Quantity]]*_xlfn.XLOOKUP(SALESTABLE[[#This Row],[Product_ID]],ProductsTable[Product_ID],ProductsTable[Unit_Price],WAASIU,0,1)</f>
        <v>8227.98</v>
      </c>
      <c r="H880" cm="1">
        <f t="array" ref="H880">SALESTABLE[[#This Row],[Quantity]]*_xlfn.XLOOKUP(SALESTABLE[[#This Row],[Product_ID]],ProductsTable[Product_ID],ProductsTable[Cost_Price],WAASIU,0,1)</f>
        <v>5895.36</v>
      </c>
      <c r="I880">
        <f>SALESTABLE[[#This Row],[Revenue]]-SALESTABLE[[#This Row],[COST]]</f>
        <v>2332.62</v>
      </c>
      <c r="J880">
        <f>SALESTABLE[[#This Row],[PROFIT]]/SALESTABLE[[#This Row],[Revenue]]*100</f>
        <v>28.349850145479206</v>
      </c>
    </row>
    <row r="881" spans="1:10" x14ac:dyDescent="0.35">
      <c r="A881" t="s">
        <v>1015</v>
      </c>
      <c r="B881" s="4">
        <v>45041</v>
      </c>
      <c r="C881" t="s">
        <v>392</v>
      </c>
      <c r="D881" t="s">
        <v>49</v>
      </c>
      <c r="E881">
        <v>6</v>
      </c>
      <c r="F881">
        <v>20</v>
      </c>
      <c r="G881" cm="1">
        <f t="array" ref="G881">SALESTABLE[[#This Row],[Quantity]]*_xlfn.XLOOKUP(SALESTABLE[[#This Row],[Product_ID]],ProductsTable[Product_ID],ProductsTable[Unit_Price],WAASIU,0,1)</f>
        <v>1377.78</v>
      </c>
      <c r="H881" cm="1">
        <f t="array" ref="H881">SALESTABLE[[#This Row],[Quantity]]*_xlfn.XLOOKUP(SALESTABLE[[#This Row],[Product_ID]],ProductsTable[Product_ID],ProductsTable[Cost_Price],WAASIU,0,1)</f>
        <v>788.52</v>
      </c>
      <c r="I881">
        <f>SALESTABLE[[#This Row],[Revenue]]-SALESTABLE[[#This Row],[COST]]</f>
        <v>589.26</v>
      </c>
      <c r="J881">
        <f>SALESTABLE[[#This Row],[PROFIT]]/SALESTABLE[[#This Row],[Revenue]]*100</f>
        <v>42.76880198580325</v>
      </c>
    </row>
    <row r="882" spans="1:10" x14ac:dyDescent="0.35">
      <c r="A882" t="s">
        <v>1016</v>
      </c>
      <c r="B882" s="4">
        <v>45492</v>
      </c>
      <c r="C882" t="s">
        <v>51</v>
      </c>
      <c r="D882" t="s">
        <v>11</v>
      </c>
      <c r="E882">
        <v>20</v>
      </c>
      <c r="F882">
        <v>15</v>
      </c>
      <c r="G882" cm="1">
        <f t="array" ref="G882">SALESTABLE[[#This Row],[Quantity]]*_xlfn.XLOOKUP(SALESTABLE[[#This Row],[Product_ID]],ProductsTable[Product_ID],ProductsTable[Unit_Price],WAASIU,0,1)</f>
        <v>9545.4</v>
      </c>
      <c r="H882" cm="1">
        <f t="array" ref="H882">SALESTABLE[[#This Row],[Quantity]]*_xlfn.XLOOKUP(SALESTABLE[[#This Row],[Product_ID]],ProductsTable[Product_ID],ProductsTable[Cost_Price],WAASIU,0,1)</f>
        <v>5976.7999999999993</v>
      </c>
      <c r="I882">
        <f>SALESTABLE[[#This Row],[Revenue]]-SALESTABLE[[#This Row],[COST]]</f>
        <v>3568.6000000000004</v>
      </c>
      <c r="J882">
        <f>SALESTABLE[[#This Row],[PROFIT]]/SALESTABLE[[#This Row],[Revenue]]*100</f>
        <v>37.385546965030279</v>
      </c>
    </row>
    <row r="883" spans="1:10" x14ac:dyDescent="0.35">
      <c r="A883" t="s">
        <v>1017</v>
      </c>
      <c r="B883" s="4">
        <v>45559</v>
      </c>
      <c r="C883" t="s">
        <v>270</v>
      </c>
      <c r="D883" t="s">
        <v>133</v>
      </c>
      <c r="E883">
        <v>13</v>
      </c>
      <c r="F883">
        <v>20</v>
      </c>
      <c r="G883" cm="1">
        <f t="array" ref="G883">SALESTABLE[[#This Row],[Quantity]]*_xlfn.XLOOKUP(SALESTABLE[[#This Row],[Product_ID]],ProductsTable[Product_ID],ProductsTable[Unit_Price],WAASIU,0,1)</f>
        <v>4563</v>
      </c>
      <c r="H883" cm="1">
        <f t="array" ref="H883">SALESTABLE[[#This Row],[Quantity]]*_xlfn.XLOOKUP(SALESTABLE[[#This Row],[Product_ID]],ProductsTable[Product_ID],ProductsTable[Cost_Price],WAASIU,0,1)</f>
        <v>3037.19</v>
      </c>
      <c r="I883">
        <f>SALESTABLE[[#This Row],[Revenue]]-SALESTABLE[[#This Row],[COST]]</f>
        <v>1525.81</v>
      </c>
      <c r="J883">
        <f>SALESTABLE[[#This Row],[PROFIT]]/SALESTABLE[[#This Row],[Revenue]]*100</f>
        <v>33.438746438746435</v>
      </c>
    </row>
    <row r="884" spans="1:10" x14ac:dyDescent="0.35">
      <c r="A884" t="s">
        <v>1018</v>
      </c>
      <c r="B884" s="4">
        <v>45237</v>
      </c>
      <c r="C884" t="s">
        <v>159</v>
      </c>
      <c r="D884" t="s">
        <v>57</v>
      </c>
      <c r="E884">
        <v>8</v>
      </c>
      <c r="F884">
        <v>20</v>
      </c>
      <c r="G884" cm="1">
        <f t="array" ref="G884">SALESTABLE[[#This Row],[Quantity]]*_xlfn.XLOOKUP(SALESTABLE[[#This Row],[Product_ID]],ProductsTable[Product_ID],ProductsTable[Unit_Price],WAASIU,0,1)</f>
        <v>1270.6400000000001</v>
      </c>
      <c r="H884" cm="1">
        <f t="array" ref="H884">SALESTABLE[[#This Row],[Quantity]]*_xlfn.XLOOKUP(SALESTABLE[[#This Row],[Product_ID]],ProductsTable[Product_ID],ProductsTable[Cost_Price],WAASIU,0,1)</f>
        <v>1015.52</v>
      </c>
      <c r="I884">
        <f>SALESTABLE[[#This Row],[Revenue]]-SALESTABLE[[#This Row],[COST]]</f>
        <v>255.12000000000012</v>
      </c>
      <c r="J884">
        <f>SALESTABLE[[#This Row],[PROFIT]]/SALESTABLE[[#This Row],[Revenue]]*100</f>
        <v>20.078070893408054</v>
      </c>
    </row>
    <row r="885" spans="1:10" x14ac:dyDescent="0.35">
      <c r="A885" t="s">
        <v>1019</v>
      </c>
      <c r="B885" s="4">
        <v>45635</v>
      </c>
      <c r="C885" t="s">
        <v>96</v>
      </c>
      <c r="D885" t="s">
        <v>139</v>
      </c>
      <c r="E885">
        <v>9</v>
      </c>
      <c r="F885">
        <v>15</v>
      </c>
      <c r="G885" cm="1">
        <f t="array" ref="G885">SALESTABLE[[#This Row],[Quantity]]*_xlfn.XLOOKUP(SALESTABLE[[#This Row],[Product_ID]],ProductsTable[Product_ID],ProductsTable[Unit_Price],WAASIU,0,1)</f>
        <v>4113.99</v>
      </c>
      <c r="H885" cm="1">
        <f t="array" ref="H885">SALESTABLE[[#This Row],[Quantity]]*_xlfn.XLOOKUP(SALESTABLE[[#This Row],[Product_ID]],ProductsTable[Product_ID],ProductsTable[Cost_Price],WAASIU,0,1)</f>
        <v>2947.68</v>
      </c>
      <c r="I885">
        <f>SALESTABLE[[#This Row],[Revenue]]-SALESTABLE[[#This Row],[COST]]</f>
        <v>1166.31</v>
      </c>
      <c r="J885">
        <f>SALESTABLE[[#This Row],[PROFIT]]/SALESTABLE[[#This Row],[Revenue]]*100</f>
        <v>28.349850145479206</v>
      </c>
    </row>
    <row r="886" spans="1:10" x14ac:dyDescent="0.35">
      <c r="A886" t="s">
        <v>1020</v>
      </c>
      <c r="B886" s="4">
        <v>45507</v>
      </c>
      <c r="C886" t="s">
        <v>90</v>
      </c>
      <c r="D886" t="s">
        <v>19</v>
      </c>
      <c r="E886">
        <v>1</v>
      </c>
      <c r="F886">
        <v>15</v>
      </c>
      <c r="G886" cm="1">
        <f t="array" ref="G886">SALESTABLE[[#This Row],[Quantity]]*_xlfn.XLOOKUP(SALESTABLE[[#This Row],[Product_ID]],ProductsTable[Product_ID],ProductsTable[Unit_Price],WAASIU,0,1)</f>
        <v>60.76</v>
      </c>
      <c r="H886" cm="1">
        <f t="array" ref="H886">SALESTABLE[[#This Row],[Quantity]]*_xlfn.XLOOKUP(SALESTABLE[[#This Row],[Product_ID]],ProductsTable[Product_ID],ProductsTable[Cost_Price],WAASIU,0,1)</f>
        <v>40.450000000000003</v>
      </c>
      <c r="I886">
        <f>SALESTABLE[[#This Row],[Revenue]]-SALESTABLE[[#This Row],[COST]]</f>
        <v>20.309999999999995</v>
      </c>
      <c r="J886">
        <f>SALESTABLE[[#This Row],[PROFIT]]/SALESTABLE[[#This Row],[Revenue]]*100</f>
        <v>33.426596445029617</v>
      </c>
    </row>
    <row r="887" spans="1:10" x14ac:dyDescent="0.35">
      <c r="A887" t="s">
        <v>1021</v>
      </c>
      <c r="B887" s="4">
        <v>45433</v>
      </c>
      <c r="C887" t="s">
        <v>251</v>
      </c>
      <c r="D887" t="s">
        <v>22</v>
      </c>
      <c r="E887">
        <v>3</v>
      </c>
      <c r="F887">
        <v>15</v>
      </c>
      <c r="G887" cm="1">
        <f t="array" ref="G887">SALESTABLE[[#This Row],[Quantity]]*_xlfn.XLOOKUP(SALESTABLE[[#This Row],[Product_ID]],ProductsTable[Product_ID],ProductsTable[Unit_Price],WAASIU,0,1)</f>
        <v>1259.01</v>
      </c>
      <c r="H887" cm="1">
        <f t="array" ref="H887">SALESTABLE[[#This Row],[Quantity]]*_xlfn.XLOOKUP(SALESTABLE[[#This Row],[Product_ID]],ProductsTable[Product_ID],ProductsTable[Cost_Price],WAASIU,0,1)</f>
        <v>640.26</v>
      </c>
      <c r="I887">
        <f>SALESTABLE[[#This Row],[Revenue]]-SALESTABLE[[#This Row],[COST]]</f>
        <v>618.75</v>
      </c>
      <c r="J887">
        <f>SALESTABLE[[#This Row],[PROFIT]]/SALESTABLE[[#This Row],[Revenue]]*100</f>
        <v>49.145757380799196</v>
      </c>
    </row>
    <row r="888" spans="1:10" x14ac:dyDescent="0.35">
      <c r="A888" t="s">
        <v>1022</v>
      </c>
      <c r="B888" s="4">
        <v>45060</v>
      </c>
      <c r="C888" t="s">
        <v>289</v>
      </c>
      <c r="D888" t="s">
        <v>125</v>
      </c>
      <c r="E888">
        <v>10</v>
      </c>
      <c r="F888">
        <v>15</v>
      </c>
      <c r="G888" cm="1">
        <f t="array" ref="G888">SALESTABLE[[#This Row],[Quantity]]*_xlfn.XLOOKUP(SALESTABLE[[#This Row],[Product_ID]],ProductsTable[Product_ID],ProductsTable[Unit_Price],WAASIU,0,1)</f>
        <v>3347</v>
      </c>
      <c r="H888" cm="1">
        <f t="array" ref="H888">SALESTABLE[[#This Row],[Quantity]]*_xlfn.XLOOKUP(SALESTABLE[[#This Row],[Product_ID]],ProductsTable[Product_ID],ProductsTable[Cost_Price],WAASIU,0,1)</f>
        <v>2495.2000000000003</v>
      </c>
      <c r="I888">
        <f>SALESTABLE[[#This Row],[Revenue]]-SALESTABLE[[#This Row],[COST]]</f>
        <v>851.79999999999973</v>
      </c>
      <c r="J888">
        <f>SALESTABLE[[#This Row],[PROFIT]]/SALESTABLE[[#This Row],[Revenue]]*100</f>
        <v>25.449656408724223</v>
      </c>
    </row>
    <row r="889" spans="1:10" x14ac:dyDescent="0.35">
      <c r="A889" t="s">
        <v>1023</v>
      </c>
      <c r="B889" s="4">
        <v>45549</v>
      </c>
      <c r="C889" t="s">
        <v>136</v>
      </c>
      <c r="D889" t="s">
        <v>248</v>
      </c>
      <c r="E889">
        <v>19</v>
      </c>
      <c r="F889">
        <v>0</v>
      </c>
      <c r="G889" cm="1">
        <f t="array" ref="G889">SALESTABLE[[#This Row],[Quantity]]*_xlfn.XLOOKUP(SALESTABLE[[#This Row],[Product_ID]],ProductsTable[Product_ID],ProductsTable[Unit_Price],WAASIU,0,1)</f>
        <v>3547.4900000000002</v>
      </c>
      <c r="H889" cm="1">
        <f t="array" ref="H889">SALESTABLE[[#This Row],[Quantity]]*_xlfn.XLOOKUP(SALESTABLE[[#This Row],[Product_ID]],ProductsTable[Product_ID],ProductsTable[Cost_Price],WAASIU,0,1)</f>
        <v>2378.61</v>
      </c>
      <c r="I889">
        <f>SALESTABLE[[#This Row],[Revenue]]-SALESTABLE[[#This Row],[COST]]</f>
        <v>1168.8800000000001</v>
      </c>
      <c r="J889">
        <f>SALESTABLE[[#This Row],[PROFIT]]/SALESTABLE[[#This Row],[Revenue]]*100</f>
        <v>32.949493867495043</v>
      </c>
    </row>
    <row r="890" spans="1:10" x14ac:dyDescent="0.35">
      <c r="A890" t="s">
        <v>1024</v>
      </c>
      <c r="B890" s="4">
        <v>45475</v>
      </c>
      <c r="C890" t="s">
        <v>225</v>
      </c>
      <c r="D890" t="s">
        <v>84</v>
      </c>
      <c r="E890">
        <v>12</v>
      </c>
      <c r="F890">
        <v>5</v>
      </c>
      <c r="G890" cm="1">
        <f t="array" ref="G890">SALESTABLE[[#This Row],[Quantity]]*_xlfn.XLOOKUP(SALESTABLE[[#This Row],[Product_ID]],ProductsTable[Product_ID],ProductsTable[Unit_Price],WAASIU,0,1)</f>
        <v>3226.7999999999997</v>
      </c>
      <c r="H890" cm="1">
        <f t="array" ref="H890">SALESTABLE[[#This Row],[Quantity]]*_xlfn.XLOOKUP(SALESTABLE[[#This Row],[Product_ID]],ProductsTable[Product_ID],ProductsTable[Cost_Price],WAASIU,0,1)</f>
        <v>1870.3200000000002</v>
      </c>
      <c r="I890">
        <f>SALESTABLE[[#This Row],[Revenue]]-SALESTABLE[[#This Row],[COST]]</f>
        <v>1356.4799999999996</v>
      </c>
      <c r="J890">
        <f>SALESTABLE[[#This Row],[PROFIT]]/SALESTABLE[[#This Row],[Revenue]]*100</f>
        <v>42.037932316846401</v>
      </c>
    </row>
    <row r="891" spans="1:10" x14ac:dyDescent="0.35">
      <c r="A891" t="s">
        <v>1025</v>
      </c>
      <c r="B891" s="4">
        <v>45438</v>
      </c>
      <c r="C891" t="s">
        <v>81</v>
      </c>
      <c r="D891" t="s">
        <v>52</v>
      </c>
      <c r="E891">
        <v>10</v>
      </c>
      <c r="F891">
        <v>5</v>
      </c>
      <c r="G891" cm="1">
        <f t="array" ref="G891">SALESTABLE[[#This Row],[Quantity]]*_xlfn.XLOOKUP(SALESTABLE[[#This Row],[Product_ID]],ProductsTable[Product_ID],ProductsTable[Unit_Price],WAASIU,0,1)</f>
        <v>1837.8</v>
      </c>
      <c r="H891" cm="1">
        <f t="array" ref="H891">SALESTABLE[[#This Row],[Quantity]]*_xlfn.XLOOKUP(SALESTABLE[[#This Row],[Product_ID]],ProductsTable[Product_ID],ProductsTable[Cost_Price],WAASIU,0,1)</f>
        <v>1156.3</v>
      </c>
      <c r="I891">
        <f>SALESTABLE[[#This Row],[Revenue]]-SALESTABLE[[#This Row],[COST]]</f>
        <v>681.5</v>
      </c>
      <c r="J891">
        <f>SALESTABLE[[#This Row],[PROFIT]]/SALESTABLE[[#This Row],[Revenue]]*100</f>
        <v>37.082381107846338</v>
      </c>
    </row>
    <row r="892" spans="1:10" x14ac:dyDescent="0.35">
      <c r="A892" t="s">
        <v>1026</v>
      </c>
      <c r="B892" s="4">
        <v>45318</v>
      </c>
      <c r="C892" t="s">
        <v>181</v>
      </c>
      <c r="D892" t="s">
        <v>52</v>
      </c>
      <c r="E892">
        <v>12</v>
      </c>
      <c r="F892">
        <v>20</v>
      </c>
      <c r="G892" cm="1">
        <f t="array" ref="G892">SALESTABLE[[#This Row],[Quantity]]*_xlfn.XLOOKUP(SALESTABLE[[#This Row],[Product_ID]],ProductsTable[Product_ID],ProductsTable[Unit_Price],WAASIU,0,1)</f>
        <v>2205.36</v>
      </c>
      <c r="H892" cm="1">
        <f t="array" ref="H892">SALESTABLE[[#This Row],[Quantity]]*_xlfn.XLOOKUP(SALESTABLE[[#This Row],[Product_ID]],ProductsTable[Product_ID],ProductsTable[Cost_Price],WAASIU,0,1)</f>
        <v>1387.56</v>
      </c>
      <c r="I892">
        <f>SALESTABLE[[#This Row],[Revenue]]-SALESTABLE[[#This Row],[COST]]</f>
        <v>817.80000000000018</v>
      </c>
      <c r="J892">
        <f>SALESTABLE[[#This Row],[PROFIT]]/SALESTABLE[[#This Row],[Revenue]]*100</f>
        <v>37.082381107846345</v>
      </c>
    </row>
    <row r="893" spans="1:10" x14ac:dyDescent="0.35">
      <c r="A893" t="s">
        <v>1027</v>
      </c>
      <c r="B893" s="4">
        <v>45162</v>
      </c>
      <c r="C893" t="s">
        <v>118</v>
      </c>
      <c r="D893" t="s">
        <v>22</v>
      </c>
      <c r="E893">
        <v>4</v>
      </c>
      <c r="F893">
        <v>5</v>
      </c>
      <c r="G893" cm="1">
        <f t="array" ref="G893">SALESTABLE[[#This Row],[Quantity]]*_xlfn.XLOOKUP(SALESTABLE[[#This Row],[Product_ID]],ProductsTable[Product_ID],ProductsTable[Unit_Price],WAASIU,0,1)</f>
        <v>1678.68</v>
      </c>
      <c r="H893" cm="1">
        <f t="array" ref="H893">SALESTABLE[[#This Row],[Quantity]]*_xlfn.XLOOKUP(SALESTABLE[[#This Row],[Product_ID]],ProductsTable[Product_ID],ProductsTable[Cost_Price],WAASIU,0,1)</f>
        <v>853.68</v>
      </c>
      <c r="I893">
        <f>SALESTABLE[[#This Row],[Revenue]]-SALESTABLE[[#This Row],[COST]]</f>
        <v>825.00000000000011</v>
      </c>
      <c r="J893">
        <f>SALESTABLE[[#This Row],[PROFIT]]/SALESTABLE[[#This Row],[Revenue]]*100</f>
        <v>49.145757380799203</v>
      </c>
    </row>
    <row r="894" spans="1:10" x14ac:dyDescent="0.35">
      <c r="A894" t="s">
        <v>1028</v>
      </c>
      <c r="B894" s="4">
        <v>45389</v>
      </c>
      <c r="C894" t="s">
        <v>10</v>
      </c>
      <c r="D894" t="s">
        <v>34</v>
      </c>
      <c r="E894">
        <v>2</v>
      </c>
      <c r="F894">
        <v>0</v>
      </c>
      <c r="G894" cm="1">
        <f t="array" ref="G894">SALESTABLE[[#This Row],[Quantity]]*_xlfn.XLOOKUP(SALESTABLE[[#This Row],[Product_ID]],ProductsTable[Product_ID],ProductsTable[Unit_Price],WAASIU,0,1)</f>
        <v>657.5</v>
      </c>
      <c r="H894" cm="1">
        <f t="array" ref="H894">SALESTABLE[[#This Row],[Quantity]]*_xlfn.XLOOKUP(SALESTABLE[[#This Row],[Product_ID]],ProductsTable[Product_ID],ProductsTable[Cost_Price],WAASIU,0,1)</f>
        <v>466.36</v>
      </c>
      <c r="I894">
        <f>SALESTABLE[[#This Row],[Revenue]]-SALESTABLE[[#This Row],[COST]]</f>
        <v>191.14</v>
      </c>
      <c r="J894">
        <f>SALESTABLE[[#This Row],[PROFIT]]/SALESTABLE[[#This Row],[Revenue]]*100</f>
        <v>29.070722433460073</v>
      </c>
    </row>
    <row r="895" spans="1:10" x14ac:dyDescent="0.35">
      <c r="A895" t="s">
        <v>1029</v>
      </c>
      <c r="B895" s="4">
        <v>45625</v>
      </c>
      <c r="C895" t="s">
        <v>61</v>
      </c>
      <c r="D895" t="s">
        <v>49</v>
      </c>
      <c r="E895">
        <v>15</v>
      </c>
      <c r="F895">
        <v>15</v>
      </c>
      <c r="G895" cm="1">
        <f t="array" ref="G895">SALESTABLE[[#This Row],[Quantity]]*_xlfn.XLOOKUP(SALESTABLE[[#This Row],[Product_ID]],ProductsTable[Product_ID],ProductsTable[Unit_Price],WAASIU,0,1)</f>
        <v>3444.45</v>
      </c>
      <c r="H895" cm="1">
        <f t="array" ref="H895">SALESTABLE[[#This Row],[Quantity]]*_xlfn.XLOOKUP(SALESTABLE[[#This Row],[Product_ID]],ProductsTable[Product_ID],ProductsTable[Cost_Price],WAASIU,0,1)</f>
        <v>1971.2999999999997</v>
      </c>
      <c r="I895">
        <f>SALESTABLE[[#This Row],[Revenue]]-SALESTABLE[[#This Row],[COST]]</f>
        <v>1473.15</v>
      </c>
      <c r="J895">
        <f>SALESTABLE[[#This Row],[PROFIT]]/SALESTABLE[[#This Row],[Revenue]]*100</f>
        <v>42.76880198580325</v>
      </c>
    </row>
    <row r="896" spans="1:10" x14ac:dyDescent="0.35">
      <c r="A896" t="s">
        <v>1030</v>
      </c>
      <c r="B896" s="4">
        <v>45448</v>
      </c>
      <c r="C896" t="s">
        <v>289</v>
      </c>
      <c r="D896" t="s">
        <v>19</v>
      </c>
      <c r="E896">
        <v>18</v>
      </c>
      <c r="F896">
        <v>15</v>
      </c>
      <c r="G896" cm="1">
        <f t="array" ref="G896">SALESTABLE[[#This Row],[Quantity]]*_xlfn.XLOOKUP(SALESTABLE[[#This Row],[Product_ID]],ProductsTable[Product_ID],ProductsTable[Unit_Price],WAASIU,0,1)</f>
        <v>1093.68</v>
      </c>
      <c r="H896" cm="1">
        <f t="array" ref="H896">SALESTABLE[[#This Row],[Quantity]]*_xlfn.XLOOKUP(SALESTABLE[[#This Row],[Product_ID]],ProductsTable[Product_ID],ProductsTable[Cost_Price],WAASIU,0,1)</f>
        <v>728.1</v>
      </c>
      <c r="I896">
        <f>SALESTABLE[[#This Row],[Revenue]]-SALESTABLE[[#This Row],[COST]]</f>
        <v>365.58000000000004</v>
      </c>
      <c r="J896">
        <f>SALESTABLE[[#This Row],[PROFIT]]/SALESTABLE[[#This Row],[Revenue]]*100</f>
        <v>33.426596445029624</v>
      </c>
    </row>
    <row r="897" spans="1:10" x14ac:dyDescent="0.35">
      <c r="A897" t="s">
        <v>1031</v>
      </c>
      <c r="B897" s="4">
        <v>45403</v>
      </c>
      <c r="C897" t="s">
        <v>86</v>
      </c>
      <c r="D897" t="s">
        <v>77</v>
      </c>
      <c r="E897">
        <v>7</v>
      </c>
      <c r="F897">
        <v>0</v>
      </c>
      <c r="G897" cm="1">
        <f t="array" ref="G897">SALESTABLE[[#This Row],[Quantity]]*_xlfn.XLOOKUP(SALESTABLE[[#This Row],[Product_ID]],ProductsTable[Product_ID],ProductsTable[Unit_Price],WAASIU,0,1)</f>
        <v>642.6</v>
      </c>
      <c r="H897" cm="1">
        <f t="array" ref="H897">SALESTABLE[[#This Row],[Quantity]]*_xlfn.XLOOKUP(SALESTABLE[[#This Row],[Product_ID]],ProductsTable[Product_ID],ProductsTable[Cost_Price],WAASIU,0,1)</f>
        <v>342.78999999999996</v>
      </c>
      <c r="I897">
        <f>SALESTABLE[[#This Row],[Revenue]]-SALESTABLE[[#This Row],[COST]]</f>
        <v>299.81000000000006</v>
      </c>
      <c r="J897">
        <f>SALESTABLE[[#This Row],[PROFIT]]/SALESTABLE[[#This Row],[Revenue]]*100</f>
        <v>46.655773420479314</v>
      </c>
    </row>
    <row r="898" spans="1:10" x14ac:dyDescent="0.35">
      <c r="A898" t="s">
        <v>1032</v>
      </c>
      <c r="B898" s="4">
        <v>45022</v>
      </c>
      <c r="C898" t="s">
        <v>120</v>
      </c>
      <c r="D898" t="s">
        <v>25</v>
      </c>
      <c r="E898">
        <v>2</v>
      </c>
      <c r="F898">
        <v>20</v>
      </c>
      <c r="G898" cm="1">
        <f t="array" ref="G898">SALESTABLE[[#This Row],[Quantity]]*_xlfn.XLOOKUP(SALESTABLE[[#This Row],[Product_ID]],ProductsTable[Product_ID],ProductsTable[Unit_Price],WAASIU,0,1)</f>
        <v>355.52</v>
      </c>
      <c r="H898" cm="1">
        <f t="array" ref="H898">SALESTABLE[[#This Row],[Quantity]]*_xlfn.XLOOKUP(SALESTABLE[[#This Row],[Product_ID]],ProductsTable[Product_ID],ProductsTable[Cost_Price],WAASIU,0,1)</f>
        <v>183.76</v>
      </c>
      <c r="I898">
        <f>SALESTABLE[[#This Row],[Revenue]]-SALESTABLE[[#This Row],[COST]]</f>
        <v>171.76</v>
      </c>
      <c r="J898">
        <f>SALESTABLE[[#This Row],[PROFIT]]/SALESTABLE[[#This Row],[Revenue]]*100</f>
        <v>48.312331233123309</v>
      </c>
    </row>
    <row r="899" spans="1:10" x14ac:dyDescent="0.35">
      <c r="A899" t="s">
        <v>1033</v>
      </c>
      <c r="B899" s="4">
        <v>45435</v>
      </c>
      <c r="C899" t="s">
        <v>120</v>
      </c>
      <c r="D899" t="s">
        <v>57</v>
      </c>
      <c r="E899">
        <v>20</v>
      </c>
      <c r="F899">
        <v>5</v>
      </c>
      <c r="G899" cm="1">
        <f t="array" ref="G899">SALESTABLE[[#This Row],[Quantity]]*_xlfn.XLOOKUP(SALESTABLE[[#This Row],[Product_ID]],ProductsTable[Product_ID],ProductsTable[Unit_Price],WAASIU,0,1)</f>
        <v>3176.6000000000004</v>
      </c>
      <c r="H899" cm="1">
        <f t="array" ref="H899">SALESTABLE[[#This Row],[Quantity]]*_xlfn.XLOOKUP(SALESTABLE[[#This Row],[Product_ID]],ProductsTable[Product_ID],ProductsTable[Cost_Price],WAASIU,0,1)</f>
        <v>2538.8000000000002</v>
      </c>
      <c r="I899">
        <f>SALESTABLE[[#This Row],[Revenue]]-SALESTABLE[[#This Row],[COST]]</f>
        <v>637.80000000000018</v>
      </c>
      <c r="J899">
        <f>SALESTABLE[[#This Row],[PROFIT]]/SALESTABLE[[#This Row],[Revenue]]*100</f>
        <v>20.07807089340805</v>
      </c>
    </row>
    <row r="900" spans="1:10" x14ac:dyDescent="0.35">
      <c r="A900" t="s">
        <v>1034</v>
      </c>
      <c r="B900" s="4">
        <v>45563</v>
      </c>
      <c r="C900" t="s">
        <v>149</v>
      </c>
      <c r="D900" t="s">
        <v>113</v>
      </c>
      <c r="E900">
        <v>16</v>
      </c>
      <c r="F900">
        <v>20</v>
      </c>
      <c r="G900" cm="1">
        <f t="array" ref="G900">SALESTABLE[[#This Row],[Quantity]]*_xlfn.XLOOKUP(SALESTABLE[[#This Row],[Product_ID]],ProductsTable[Product_ID],ProductsTable[Unit_Price],WAASIU,0,1)</f>
        <v>5393.44</v>
      </c>
      <c r="H900" cm="1">
        <f t="array" ref="H900">SALESTABLE[[#This Row],[Quantity]]*_xlfn.XLOOKUP(SALESTABLE[[#This Row],[Product_ID]],ProductsTable[Product_ID],ProductsTable[Cost_Price],WAASIU,0,1)</f>
        <v>2982.56</v>
      </c>
      <c r="I900">
        <f>SALESTABLE[[#This Row],[Revenue]]-SALESTABLE[[#This Row],[COST]]</f>
        <v>2410.8799999999997</v>
      </c>
      <c r="J900">
        <f>SALESTABLE[[#This Row],[PROFIT]]/SALESTABLE[[#This Row],[Revenue]]*100</f>
        <v>44.700228425643004</v>
      </c>
    </row>
    <row r="901" spans="1:10" x14ac:dyDescent="0.35">
      <c r="A901" t="s">
        <v>1035</v>
      </c>
      <c r="B901" s="4">
        <v>45470</v>
      </c>
      <c r="C901" t="s">
        <v>156</v>
      </c>
      <c r="D901" t="s">
        <v>52</v>
      </c>
      <c r="E901">
        <v>5</v>
      </c>
      <c r="F901">
        <v>15</v>
      </c>
      <c r="G901" cm="1">
        <f t="array" ref="G901">SALESTABLE[[#This Row],[Quantity]]*_xlfn.XLOOKUP(SALESTABLE[[#This Row],[Product_ID]],ProductsTable[Product_ID],ProductsTable[Unit_Price],WAASIU,0,1)</f>
        <v>918.9</v>
      </c>
      <c r="H901" cm="1">
        <f t="array" ref="H901">SALESTABLE[[#This Row],[Quantity]]*_xlfn.XLOOKUP(SALESTABLE[[#This Row],[Product_ID]],ProductsTable[Product_ID],ProductsTable[Cost_Price],WAASIU,0,1)</f>
        <v>578.15</v>
      </c>
      <c r="I901">
        <f>SALESTABLE[[#This Row],[Revenue]]-SALESTABLE[[#This Row],[COST]]</f>
        <v>340.75</v>
      </c>
      <c r="J901">
        <f>SALESTABLE[[#This Row],[PROFIT]]/SALESTABLE[[#This Row],[Revenue]]*100</f>
        <v>37.082381107846338</v>
      </c>
    </row>
    <row r="902" spans="1:10" x14ac:dyDescent="0.35">
      <c r="A902" t="s">
        <v>1036</v>
      </c>
      <c r="B902" s="4">
        <v>44994</v>
      </c>
      <c r="C902" t="s">
        <v>156</v>
      </c>
      <c r="D902" t="s">
        <v>57</v>
      </c>
      <c r="E902">
        <v>1</v>
      </c>
      <c r="F902">
        <v>10</v>
      </c>
      <c r="G902" cm="1">
        <f t="array" ref="G902">SALESTABLE[[#This Row],[Quantity]]*_xlfn.XLOOKUP(SALESTABLE[[#This Row],[Product_ID]],ProductsTable[Product_ID],ProductsTable[Unit_Price],WAASIU,0,1)</f>
        <v>158.83000000000001</v>
      </c>
      <c r="H902" cm="1">
        <f t="array" ref="H902">SALESTABLE[[#This Row],[Quantity]]*_xlfn.XLOOKUP(SALESTABLE[[#This Row],[Product_ID]],ProductsTable[Product_ID],ProductsTable[Cost_Price],WAASIU,0,1)</f>
        <v>126.94</v>
      </c>
      <c r="I902">
        <f>SALESTABLE[[#This Row],[Revenue]]-SALESTABLE[[#This Row],[COST]]</f>
        <v>31.890000000000015</v>
      </c>
      <c r="J902">
        <f>SALESTABLE[[#This Row],[PROFIT]]/SALESTABLE[[#This Row],[Revenue]]*100</f>
        <v>20.078070893408054</v>
      </c>
    </row>
    <row r="903" spans="1:10" x14ac:dyDescent="0.35">
      <c r="A903" t="s">
        <v>1037</v>
      </c>
      <c r="B903" s="4">
        <v>45052</v>
      </c>
      <c r="C903" t="s">
        <v>21</v>
      </c>
      <c r="D903" t="s">
        <v>11</v>
      </c>
      <c r="E903">
        <v>3</v>
      </c>
      <c r="F903">
        <v>20</v>
      </c>
      <c r="G903" cm="1">
        <f t="array" ref="G903">SALESTABLE[[#This Row],[Quantity]]*_xlfn.XLOOKUP(SALESTABLE[[#This Row],[Product_ID]],ProductsTable[Product_ID],ProductsTable[Unit_Price],WAASIU,0,1)</f>
        <v>1431.81</v>
      </c>
      <c r="H903" cm="1">
        <f t="array" ref="H903">SALESTABLE[[#This Row],[Quantity]]*_xlfn.XLOOKUP(SALESTABLE[[#This Row],[Product_ID]],ProductsTable[Product_ID],ProductsTable[Cost_Price],WAASIU,0,1)</f>
        <v>896.52</v>
      </c>
      <c r="I903">
        <f>SALESTABLE[[#This Row],[Revenue]]-SALESTABLE[[#This Row],[COST]]</f>
        <v>535.29</v>
      </c>
      <c r="J903">
        <f>SALESTABLE[[#This Row],[PROFIT]]/SALESTABLE[[#This Row],[Revenue]]*100</f>
        <v>37.385546965030272</v>
      </c>
    </row>
    <row r="904" spans="1:10" x14ac:dyDescent="0.35">
      <c r="A904" t="s">
        <v>1038</v>
      </c>
      <c r="B904" s="4">
        <v>45532</v>
      </c>
      <c r="C904" t="s">
        <v>223</v>
      </c>
      <c r="D904" t="s">
        <v>22</v>
      </c>
      <c r="E904">
        <v>8</v>
      </c>
      <c r="F904">
        <v>15</v>
      </c>
      <c r="G904" cm="1">
        <f t="array" ref="G904">SALESTABLE[[#This Row],[Quantity]]*_xlfn.XLOOKUP(SALESTABLE[[#This Row],[Product_ID]],ProductsTable[Product_ID],ProductsTable[Unit_Price],WAASIU,0,1)</f>
        <v>3357.36</v>
      </c>
      <c r="H904" cm="1">
        <f t="array" ref="H904">SALESTABLE[[#This Row],[Quantity]]*_xlfn.XLOOKUP(SALESTABLE[[#This Row],[Product_ID]],ProductsTable[Product_ID],ProductsTable[Cost_Price],WAASIU,0,1)</f>
        <v>1707.36</v>
      </c>
      <c r="I904">
        <f>SALESTABLE[[#This Row],[Revenue]]-SALESTABLE[[#This Row],[COST]]</f>
        <v>1650.0000000000002</v>
      </c>
      <c r="J904">
        <f>SALESTABLE[[#This Row],[PROFIT]]/SALESTABLE[[#This Row],[Revenue]]*100</f>
        <v>49.145757380799203</v>
      </c>
    </row>
    <row r="905" spans="1:10" x14ac:dyDescent="0.35">
      <c r="A905" t="s">
        <v>1039</v>
      </c>
      <c r="B905" s="4">
        <v>45221</v>
      </c>
      <c r="C905" t="s">
        <v>73</v>
      </c>
      <c r="D905" t="s">
        <v>28</v>
      </c>
      <c r="E905">
        <v>14</v>
      </c>
      <c r="F905">
        <v>5</v>
      </c>
      <c r="G905" cm="1">
        <f t="array" ref="G905">SALESTABLE[[#This Row],[Quantity]]*_xlfn.XLOOKUP(SALESTABLE[[#This Row],[Product_ID]],ProductsTable[Product_ID],ProductsTable[Unit_Price],WAASIU,0,1)</f>
        <v>5956.72</v>
      </c>
      <c r="H905" cm="1">
        <f t="array" ref="H905">SALESTABLE[[#This Row],[Quantity]]*_xlfn.XLOOKUP(SALESTABLE[[#This Row],[Product_ID]],ProductsTable[Product_ID],ProductsTable[Cost_Price],WAASIU,0,1)</f>
        <v>3268.72</v>
      </c>
      <c r="I905">
        <f>SALESTABLE[[#This Row],[Revenue]]-SALESTABLE[[#This Row],[COST]]</f>
        <v>2688.0000000000005</v>
      </c>
      <c r="J905">
        <f>SALESTABLE[[#This Row],[PROFIT]]/SALESTABLE[[#This Row],[Revenue]]*100</f>
        <v>45.125505311648027</v>
      </c>
    </row>
    <row r="906" spans="1:10" x14ac:dyDescent="0.35">
      <c r="A906" t="s">
        <v>1040</v>
      </c>
      <c r="B906" s="4">
        <v>45511</v>
      </c>
      <c r="C906" t="s">
        <v>602</v>
      </c>
      <c r="D906" t="s">
        <v>77</v>
      </c>
      <c r="E906">
        <v>20</v>
      </c>
      <c r="F906">
        <v>15</v>
      </c>
      <c r="G906" cm="1">
        <f t="array" ref="G906">SALESTABLE[[#This Row],[Quantity]]*_xlfn.XLOOKUP(SALESTABLE[[#This Row],[Product_ID]],ProductsTable[Product_ID],ProductsTable[Unit_Price],WAASIU,0,1)</f>
        <v>1836</v>
      </c>
      <c r="H906" cm="1">
        <f t="array" ref="H906">SALESTABLE[[#This Row],[Quantity]]*_xlfn.XLOOKUP(SALESTABLE[[#This Row],[Product_ID]],ProductsTable[Product_ID],ProductsTable[Cost_Price],WAASIU,0,1)</f>
        <v>979.4</v>
      </c>
      <c r="I906">
        <f>SALESTABLE[[#This Row],[Revenue]]-SALESTABLE[[#This Row],[COST]]</f>
        <v>856.6</v>
      </c>
      <c r="J906">
        <f>SALESTABLE[[#This Row],[PROFIT]]/SALESTABLE[[#This Row],[Revenue]]*100</f>
        <v>46.655773420479299</v>
      </c>
    </row>
    <row r="907" spans="1:10" x14ac:dyDescent="0.35">
      <c r="A907" t="s">
        <v>1041</v>
      </c>
      <c r="B907" s="4">
        <v>45223</v>
      </c>
      <c r="C907" t="s">
        <v>306</v>
      </c>
      <c r="D907" t="s">
        <v>52</v>
      </c>
      <c r="E907">
        <v>18</v>
      </c>
      <c r="F907">
        <v>5</v>
      </c>
      <c r="G907" cm="1">
        <f t="array" ref="G907">SALESTABLE[[#This Row],[Quantity]]*_xlfn.XLOOKUP(SALESTABLE[[#This Row],[Product_ID]],ProductsTable[Product_ID],ProductsTable[Unit_Price],WAASIU,0,1)</f>
        <v>3308.04</v>
      </c>
      <c r="H907" cm="1">
        <f t="array" ref="H907">SALESTABLE[[#This Row],[Quantity]]*_xlfn.XLOOKUP(SALESTABLE[[#This Row],[Product_ID]],ProductsTable[Product_ID],ProductsTable[Cost_Price],WAASIU,0,1)</f>
        <v>2081.34</v>
      </c>
      <c r="I907">
        <f>SALESTABLE[[#This Row],[Revenue]]-SALESTABLE[[#This Row],[COST]]</f>
        <v>1226.6999999999998</v>
      </c>
      <c r="J907">
        <f>SALESTABLE[[#This Row],[PROFIT]]/SALESTABLE[[#This Row],[Revenue]]*100</f>
        <v>37.082381107846338</v>
      </c>
    </row>
    <row r="908" spans="1:10" x14ac:dyDescent="0.35">
      <c r="A908" t="s">
        <v>1042</v>
      </c>
      <c r="B908" s="4">
        <v>45492</v>
      </c>
      <c r="C908" t="s">
        <v>30</v>
      </c>
      <c r="D908" t="s">
        <v>125</v>
      </c>
      <c r="E908">
        <v>11</v>
      </c>
      <c r="F908">
        <v>10</v>
      </c>
      <c r="G908" cm="1">
        <f t="array" ref="G908">SALESTABLE[[#This Row],[Quantity]]*_xlfn.XLOOKUP(SALESTABLE[[#This Row],[Product_ID]],ProductsTable[Product_ID],ProductsTable[Unit_Price],WAASIU,0,1)</f>
        <v>3681.7</v>
      </c>
      <c r="H908" cm="1">
        <f t="array" ref="H908">SALESTABLE[[#This Row],[Quantity]]*_xlfn.XLOOKUP(SALESTABLE[[#This Row],[Product_ID]],ProductsTable[Product_ID],ProductsTable[Cost_Price],WAASIU,0,1)</f>
        <v>2744.7200000000003</v>
      </c>
      <c r="I908">
        <f>SALESTABLE[[#This Row],[Revenue]]-SALESTABLE[[#This Row],[COST]]</f>
        <v>936.97999999999956</v>
      </c>
      <c r="J908">
        <f>SALESTABLE[[#This Row],[PROFIT]]/SALESTABLE[[#This Row],[Revenue]]*100</f>
        <v>25.44965640872422</v>
      </c>
    </row>
    <row r="909" spans="1:10" x14ac:dyDescent="0.35">
      <c r="A909" t="s">
        <v>1043</v>
      </c>
      <c r="B909" s="4">
        <v>45380</v>
      </c>
      <c r="C909" t="s">
        <v>225</v>
      </c>
      <c r="D909" t="s">
        <v>52</v>
      </c>
      <c r="E909">
        <v>14</v>
      </c>
      <c r="F909">
        <v>10</v>
      </c>
      <c r="G909" cm="1">
        <f t="array" ref="G909">SALESTABLE[[#This Row],[Quantity]]*_xlfn.XLOOKUP(SALESTABLE[[#This Row],[Product_ID]],ProductsTable[Product_ID],ProductsTable[Unit_Price],WAASIU,0,1)</f>
        <v>2572.92</v>
      </c>
      <c r="H909" cm="1">
        <f t="array" ref="H909">SALESTABLE[[#This Row],[Quantity]]*_xlfn.XLOOKUP(SALESTABLE[[#This Row],[Product_ID]],ProductsTable[Product_ID],ProductsTable[Cost_Price],WAASIU,0,1)</f>
        <v>1618.82</v>
      </c>
      <c r="I909">
        <f>SALESTABLE[[#This Row],[Revenue]]-SALESTABLE[[#This Row],[COST]]</f>
        <v>954.10000000000014</v>
      </c>
      <c r="J909">
        <f>SALESTABLE[[#This Row],[PROFIT]]/SALESTABLE[[#This Row],[Revenue]]*100</f>
        <v>37.082381107846338</v>
      </c>
    </row>
    <row r="910" spans="1:10" x14ac:dyDescent="0.35">
      <c r="A910" t="s">
        <v>1044</v>
      </c>
      <c r="B910" s="4">
        <v>45239</v>
      </c>
      <c r="C910" t="s">
        <v>102</v>
      </c>
      <c r="D910" t="s">
        <v>52</v>
      </c>
      <c r="E910">
        <v>10</v>
      </c>
      <c r="F910">
        <v>5</v>
      </c>
      <c r="G910" cm="1">
        <f t="array" ref="G910">SALESTABLE[[#This Row],[Quantity]]*_xlfn.XLOOKUP(SALESTABLE[[#This Row],[Product_ID]],ProductsTable[Product_ID],ProductsTable[Unit_Price],WAASIU,0,1)</f>
        <v>1837.8</v>
      </c>
      <c r="H910" cm="1">
        <f t="array" ref="H910">SALESTABLE[[#This Row],[Quantity]]*_xlfn.XLOOKUP(SALESTABLE[[#This Row],[Product_ID]],ProductsTable[Product_ID],ProductsTable[Cost_Price],WAASIU,0,1)</f>
        <v>1156.3</v>
      </c>
      <c r="I910">
        <f>SALESTABLE[[#This Row],[Revenue]]-SALESTABLE[[#This Row],[COST]]</f>
        <v>681.5</v>
      </c>
      <c r="J910">
        <f>SALESTABLE[[#This Row],[PROFIT]]/SALESTABLE[[#This Row],[Revenue]]*100</f>
        <v>37.082381107846338</v>
      </c>
    </row>
    <row r="911" spans="1:10" x14ac:dyDescent="0.35">
      <c r="A911" t="s">
        <v>1045</v>
      </c>
      <c r="B911" s="4">
        <v>45436</v>
      </c>
      <c r="C911" t="s">
        <v>142</v>
      </c>
      <c r="D911" t="s">
        <v>52</v>
      </c>
      <c r="E911">
        <v>1</v>
      </c>
      <c r="F911">
        <v>15</v>
      </c>
      <c r="G911" cm="1">
        <f t="array" ref="G911">SALESTABLE[[#This Row],[Quantity]]*_xlfn.XLOOKUP(SALESTABLE[[#This Row],[Product_ID]],ProductsTable[Product_ID],ProductsTable[Unit_Price],WAASIU,0,1)</f>
        <v>183.78</v>
      </c>
      <c r="H911" cm="1">
        <f t="array" ref="H911">SALESTABLE[[#This Row],[Quantity]]*_xlfn.XLOOKUP(SALESTABLE[[#This Row],[Product_ID]],ProductsTable[Product_ID],ProductsTable[Cost_Price],WAASIU,0,1)</f>
        <v>115.63</v>
      </c>
      <c r="I911">
        <f>SALESTABLE[[#This Row],[Revenue]]-SALESTABLE[[#This Row],[COST]]</f>
        <v>68.150000000000006</v>
      </c>
      <c r="J911">
        <f>SALESTABLE[[#This Row],[PROFIT]]/SALESTABLE[[#This Row],[Revenue]]*100</f>
        <v>37.082381107846338</v>
      </c>
    </row>
    <row r="912" spans="1:10" x14ac:dyDescent="0.35">
      <c r="A912" t="s">
        <v>1046</v>
      </c>
      <c r="B912" s="4">
        <v>45056</v>
      </c>
      <c r="C912" t="s">
        <v>48</v>
      </c>
      <c r="D912" t="s">
        <v>110</v>
      </c>
      <c r="E912">
        <v>18</v>
      </c>
      <c r="F912">
        <v>20</v>
      </c>
      <c r="G912" cm="1">
        <f t="array" ref="G912">SALESTABLE[[#This Row],[Quantity]]*_xlfn.XLOOKUP(SALESTABLE[[#This Row],[Product_ID]],ProductsTable[Product_ID],ProductsTable[Unit_Price],WAASIU,0,1)</f>
        <v>8843.76</v>
      </c>
      <c r="H912" cm="1">
        <f t="array" ref="H912">SALESTABLE[[#This Row],[Quantity]]*_xlfn.XLOOKUP(SALESTABLE[[#This Row],[Product_ID]],ProductsTable[Product_ID],ProductsTable[Cost_Price],WAASIU,0,1)</f>
        <v>4825.9800000000005</v>
      </c>
      <c r="I912">
        <f>SALESTABLE[[#This Row],[Revenue]]-SALESTABLE[[#This Row],[COST]]</f>
        <v>4017.7799999999997</v>
      </c>
      <c r="J912">
        <f>SALESTABLE[[#This Row],[PROFIT]]/SALESTABLE[[#This Row],[Revenue]]*100</f>
        <v>45.430676544818041</v>
      </c>
    </row>
    <row r="913" spans="1:10" x14ac:dyDescent="0.35">
      <c r="A913" t="s">
        <v>1047</v>
      </c>
      <c r="B913" s="4">
        <v>45088</v>
      </c>
      <c r="C913" t="s">
        <v>223</v>
      </c>
      <c r="D913" t="s">
        <v>125</v>
      </c>
      <c r="E913">
        <v>2</v>
      </c>
      <c r="F913">
        <v>20</v>
      </c>
      <c r="G913" cm="1">
        <f t="array" ref="G913">SALESTABLE[[#This Row],[Quantity]]*_xlfn.XLOOKUP(SALESTABLE[[#This Row],[Product_ID]],ProductsTable[Product_ID],ProductsTable[Unit_Price],WAASIU,0,1)</f>
        <v>669.4</v>
      </c>
      <c r="H913" cm="1">
        <f t="array" ref="H913">SALESTABLE[[#This Row],[Quantity]]*_xlfn.XLOOKUP(SALESTABLE[[#This Row],[Product_ID]],ProductsTable[Product_ID],ProductsTable[Cost_Price],WAASIU,0,1)</f>
        <v>499.04</v>
      </c>
      <c r="I913">
        <f>SALESTABLE[[#This Row],[Revenue]]-SALESTABLE[[#This Row],[COST]]</f>
        <v>170.35999999999996</v>
      </c>
      <c r="J913">
        <f>SALESTABLE[[#This Row],[PROFIT]]/SALESTABLE[[#This Row],[Revenue]]*100</f>
        <v>25.449656408724223</v>
      </c>
    </row>
    <row r="914" spans="1:10" x14ac:dyDescent="0.35">
      <c r="A914" t="s">
        <v>1048</v>
      </c>
      <c r="B914" s="4">
        <v>45510</v>
      </c>
      <c r="C914" t="s">
        <v>69</v>
      </c>
      <c r="D914" t="s">
        <v>8</v>
      </c>
      <c r="E914">
        <v>11</v>
      </c>
      <c r="F914">
        <v>10</v>
      </c>
      <c r="G914" cm="1">
        <f t="array" ref="G914">SALESTABLE[[#This Row],[Quantity]]*_xlfn.XLOOKUP(SALESTABLE[[#This Row],[Product_ID]],ProductsTable[Product_ID],ProductsTable[Unit_Price],WAASIU,0,1)</f>
        <v>3699.52</v>
      </c>
      <c r="H914" cm="1">
        <f t="array" ref="H914">SALESTABLE[[#This Row],[Quantity]]*_xlfn.XLOOKUP(SALESTABLE[[#This Row],[Product_ID]],ProductsTable[Product_ID],ProductsTable[Cost_Price],WAASIU,0,1)</f>
        <v>2505.58</v>
      </c>
      <c r="I914">
        <f>SALESTABLE[[#This Row],[Revenue]]-SALESTABLE[[#This Row],[COST]]</f>
        <v>1193.94</v>
      </c>
      <c r="J914">
        <f>SALESTABLE[[#This Row],[PROFIT]]/SALESTABLE[[#This Row],[Revenue]]*100</f>
        <v>32.272835394862035</v>
      </c>
    </row>
    <row r="915" spans="1:10" x14ac:dyDescent="0.35">
      <c r="A915" t="s">
        <v>1049</v>
      </c>
      <c r="B915" s="4">
        <v>45216</v>
      </c>
      <c r="C915" t="s">
        <v>96</v>
      </c>
      <c r="D915" t="s">
        <v>97</v>
      </c>
      <c r="E915">
        <v>9</v>
      </c>
      <c r="F915">
        <v>5</v>
      </c>
      <c r="G915" cm="1">
        <f t="array" ref="G915">SALESTABLE[[#This Row],[Quantity]]*_xlfn.XLOOKUP(SALESTABLE[[#This Row],[Product_ID]],ProductsTable[Product_ID],ProductsTable[Unit_Price],WAASIU,0,1)</f>
        <v>2791.89</v>
      </c>
      <c r="H915" cm="1">
        <f t="array" ref="H915">SALESTABLE[[#This Row],[Quantity]]*_xlfn.XLOOKUP(SALESTABLE[[#This Row],[Product_ID]],ProductsTable[Product_ID],ProductsTable[Cost_Price],WAASIU,0,1)</f>
        <v>2027.61</v>
      </c>
      <c r="I915">
        <f>SALESTABLE[[#This Row],[Revenue]]-SALESTABLE[[#This Row],[COST]]</f>
        <v>764.28</v>
      </c>
      <c r="J915">
        <f>SALESTABLE[[#This Row],[PROFIT]]/SALESTABLE[[#This Row],[Revenue]]*100</f>
        <v>27.375004029528384</v>
      </c>
    </row>
    <row r="916" spans="1:10" x14ac:dyDescent="0.35">
      <c r="A916" t="s">
        <v>1050</v>
      </c>
      <c r="B916" s="4">
        <v>45469</v>
      </c>
      <c r="C916" t="s">
        <v>90</v>
      </c>
      <c r="D916" t="s">
        <v>28</v>
      </c>
      <c r="E916">
        <v>2</v>
      </c>
      <c r="F916">
        <v>20</v>
      </c>
      <c r="G916" cm="1">
        <f t="array" ref="G916">SALESTABLE[[#This Row],[Quantity]]*_xlfn.XLOOKUP(SALESTABLE[[#This Row],[Product_ID]],ProductsTable[Product_ID],ProductsTable[Unit_Price],WAASIU,0,1)</f>
        <v>850.96</v>
      </c>
      <c r="H916" cm="1">
        <f t="array" ref="H916">SALESTABLE[[#This Row],[Quantity]]*_xlfn.XLOOKUP(SALESTABLE[[#This Row],[Product_ID]],ProductsTable[Product_ID],ProductsTable[Cost_Price],WAASIU,0,1)</f>
        <v>466.96</v>
      </c>
      <c r="I916">
        <f>SALESTABLE[[#This Row],[Revenue]]-SALESTABLE[[#This Row],[COST]]</f>
        <v>384.00000000000006</v>
      </c>
      <c r="J916">
        <f>SALESTABLE[[#This Row],[PROFIT]]/SALESTABLE[[#This Row],[Revenue]]*100</f>
        <v>45.12550531164802</v>
      </c>
    </row>
    <row r="917" spans="1:10" x14ac:dyDescent="0.35">
      <c r="A917" t="s">
        <v>1051</v>
      </c>
      <c r="B917" s="4">
        <v>45655</v>
      </c>
      <c r="C917" t="s">
        <v>301</v>
      </c>
      <c r="D917" t="s">
        <v>34</v>
      </c>
      <c r="E917">
        <v>1</v>
      </c>
      <c r="F917">
        <v>0</v>
      </c>
      <c r="G917" cm="1">
        <f t="array" ref="G917">SALESTABLE[[#This Row],[Quantity]]*_xlfn.XLOOKUP(SALESTABLE[[#This Row],[Product_ID]],ProductsTable[Product_ID],ProductsTable[Unit_Price],WAASIU,0,1)</f>
        <v>328.75</v>
      </c>
      <c r="H917" cm="1">
        <f t="array" ref="H917">SALESTABLE[[#This Row],[Quantity]]*_xlfn.XLOOKUP(SALESTABLE[[#This Row],[Product_ID]],ProductsTable[Product_ID],ProductsTable[Cost_Price],WAASIU,0,1)</f>
        <v>233.18</v>
      </c>
      <c r="I917">
        <f>SALESTABLE[[#This Row],[Revenue]]-SALESTABLE[[#This Row],[COST]]</f>
        <v>95.57</v>
      </c>
      <c r="J917">
        <f>SALESTABLE[[#This Row],[PROFIT]]/SALESTABLE[[#This Row],[Revenue]]*100</f>
        <v>29.070722433460073</v>
      </c>
    </row>
    <row r="918" spans="1:10" x14ac:dyDescent="0.35">
      <c r="A918" t="s">
        <v>1052</v>
      </c>
      <c r="B918" s="4">
        <v>45511</v>
      </c>
      <c r="C918" t="s">
        <v>112</v>
      </c>
      <c r="D918" t="s">
        <v>13</v>
      </c>
      <c r="E918">
        <v>7</v>
      </c>
      <c r="F918">
        <v>5</v>
      </c>
      <c r="G918" cm="1">
        <f t="array" ref="G918">SALESTABLE[[#This Row],[Quantity]]*_xlfn.XLOOKUP(SALESTABLE[[#This Row],[Product_ID]],ProductsTable[Product_ID],ProductsTable[Unit_Price],WAASIU,0,1)</f>
        <v>3046.26</v>
      </c>
      <c r="H918" cm="1">
        <f t="array" ref="H918">SALESTABLE[[#This Row],[Quantity]]*_xlfn.XLOOKUP(SALESTABLE[[#This Row],[Product_ID]],ProductsTable[Product_ID],ProductsTable[Cost_Price],WAASIU,0,1)</f>
        <v>1616.6499999999999</v>
      </c>
      <c r="I918">
        <f>SALESTABLE[[#This Row],[Revenue]]-SALESTABLE[[#This Row],[COST]]</f>
        <v>1429.6100000000004</v>
      </c>
      <c r="J918">
        <f>SALESTABLE[[#This Row],[PROFIT]]/SALESTABLE[[#This Row],[Revenue]]*100</f>
        <v>46.930005974539277</v>
      </c>
    </row>
    <row r="919" spans="1:10" x14ac:dyDescent="0.35">
      <c r="A919" t="s">
        <v>1053</v>
      </c>
      <c r="B919" s="4">
        <v>45434</v>
      </c>
      <c r="C919" t="s">
        <v>284</v>
      </c>
      <c r="D919" t="s">
        <v>25</v>
      </c>
      <c r="E919">
        <v>17</v>
      </c>
      <c r="F919">
        <v>20</v>
      </c>
      <c r="G919" cm="1">
        <f t="array" ref="G919">SALESTABLE[[#This Row],[Quantity]]*_xlfn.XLOOKUP(SALESTABLE[[#This Row],[Product_ID]],ProductsTable[Product_ID],ProductsTable[Unit_Price],WAASIU,0,1)</f>
        <v>3021.92</v>
      </c>
      <c r="H919" cm="1">
        <f t="array" ref="H919">SALESTABLE[[#This Row],[Quantity]]*_xlfn.XLOOKUP(SALESTABLE[[#This Row],[Product_ID]],ProductsTable[Product_ID],ProductsTable[Cost_Price],WAASIU,0,1)</f>
        <v>1561.96</v>
      </c>
      <c r="I919">
        <f>SALESTABLE[[#This Row],[Revenue]]-SALESTABLE[[#This Row],[COST]]</f>
        <v>1459.96</v>
      </c>
      <c r="J919">
        <f>SALESTABLE[[#This Row],[PROFIT]]/SALESTABLE[[#This Row],[Revenue]]*100</f>
        <v>48.312331233123309</v>
      </c>
    </row>
    <row r="920" spans="1:10" x14ac:dyDescent="0.35">
      <c r="A920" t="s">
        <v>1054</v>
      </c>
      <c r="B920" s="4">
        <v>45413</v>
      </c>
      <c r="C920" t="s">
        <v>301</v>
      </c>
      <c r="D920" t="s">
        <v>11</v>
      </c>
      <c r="E920">
        <v>16</v>
      </c>
      <c r="F920">
        <v>5</v>
      </c>
      <c r="G920" cm="1">
        <f t="array" ref="G920">SALESTABLE[[#This Row],[Quantity]]*_xlfn.XLOOKUP(SALESTABLE[[#This Row],[Product_ID]],ProductsTable[Product_ID],ProductsTable[Unit_Price],WAASIU,0,1)</f>
        <v>7636.32</v>
      </c>
      <c r="H920" cm="1">
        <f t="array" ref="H920">SALESTABLE[[#This Row],[Quantity]]*_xlfn.XLOOKUP(SALESTABLE[[#This Row],[Product_ID]],ProductsTable[Product_ID],ProductsTable[Cost_Price],WAASIU,0,1)</f>
        <v>4781.4399999999996</v>
      </c>
      <c r="I920">
        <f>SALESTABLE[[#This Row],[Revenue]]-SALESTABLE[[#This Row],[COST]]</f>
        <v>2854.88</v>
      </c>
      <c r="J920">
        <f>SALESTABLE[[#This Row],[PROFIT]]/SALESTABLE[[#This Row],[Revenue]]*100</f>
        <v>37.385546965030279</v>
      </c>
    </row>
    <row r="921" spans="1:10" x14ac:dyDescent="0.35">
      <c r="A921" t="s">
        <v>1055</v>
      </c>
      <c r="B921" s="4">
        <v>45559</v>
      </c>
      <c r="C921" t="s">
        <v>144</v>
      </c>
      <c r="D921" t="s">
        <v>13</v>
      </c>
      <c r="E921">
        <v>19</v>
      </c>
      <c r="F921">
        <v>15</v>
      </c>
      <c r="G921" cm="1">
        <f t="array" ref="G921">SALESTABLE[[#This Row],[Quantity]]*_xlfn.XLOOKUP(SALESTABLE[[#This Row],[Product_ID]],ProductsTable[Product_ID],ProductsTable[Unit_Price],WAASIU,0,1)</f>
        <v>8268.42</v>
      </c>
      <c r="H921" cm="1">
        <f t="array" ref="H921">SALESTABLE[[#This Row],[Quantity]]*_xlfn.XLOOKUP(SALESTABLE[[#This Row],[Product_ID]],ProductsTable[Product_ID],ProductsTable[Cost_Price],WAASIU,0,1)</f>
        <v>4388.05</v>
      </c>
      <c r="I921">
        <f>SALESTABLE[[#This Row],[Revenue]]-SALESTABLE[[#This Row],[COST]]</f>
        <v>3880.37</v>
      </c>
      <c r="J921">
        <f>SALESTABLE[[#This Row],[PROFIT]]/SALESTABLE[[#This Row],[Revenue]]*100</f>
        <v>46.93000597453927</v>
      </c>
    </row>
    <row r="922" spans="1:10" x14ac:dyDescent="0.35">
      <c r="A922" t="s">
        <v>1056</v>
      </c>
      <c r="B922" s="4">
        <v>45654</v>
      </c>
      <c r="C922" t="s">
        <v>304</v>
      </c>
      <c r="D922" t="s">
        <v>49</v>
      </c>
      <c r="E922">
        <v>17</v>
      </c>
      <c r="F922">
        <v>10</v>
      </c>
      <c r="G922" cm="1">
        <f t="array" ref="G922">SALESTABLE[[#This Row],[Quantity]]*_xlfn.XLOOKUP(SALESTABLE[[#This Row],[Product_ID]],ProductsTable[Product_ID],ProductsTable[Unit_Price],WAASIU,0,1)</f>
        <v>3903.71</v>
      </c>
      <c r="H922" cm="1">
        <f t="array" ref="H922">SALESTABLE[[#This Row],[Quantity]]*_xlfn.XLOOKUP(SALESTABLE[[#This Row],[Product_ID]],ProductsTable[Product_ID],ProductsTable[Cost_Price],WAASIU,0,1)</f>
        <v>2234.14</v>
      </c>
      <c r="I922">
        <f>SALESTABLE[[#This Row],[Revenue]]-SALESTABLE[[#This Row],[COST]]</f>
        <v>1669.5700000000002</v>
      </c>
      <c r="J922">
        <f>SALESTABLE[[#This Row],[PROFIT]]/SALESTABLE[[#This Row],[Revenue]]*100</f>
        <v>42.76880198580325</v>
      </c>
    </row>
    <row r="923" spans="1:10" x14ac:dyDescent="0.35">
      <c r="A923" t="s">
        <v>1057</v>
      </c>
      <c r="B923" s="4">
        <v>45117</v>
      </c>
      <c r="C923" t="s">
        <v>79</v>
      </c>
      <c r="D923" t="s">
        <v>25</v>
      </c>
      <c r="E923">
        <v>15</v>
      </c>
      <c r="F923">
        <v>10</v>
      </c>
      <c r="G923" cm="1">
        <f t="array" ref="G923">SALESTABLE[[#This Row],[Quantity]]*_xlfn.XLOOKUP(SALESTABLE[[#This Row],[Product_ID]],ProductsTable[Product_ID],ProductsTable[Unit_Price],WAASIU,0,1)</f>
        <v>2666.3999999999996</v>
      </c>
      <c r="H923" cm="1">
        <f t="array" ref="H923">SALESTABLE[[#This Row],[Quantity]]*_xlfn.XLOOKUP(SALESTABLE[[#This Row],[Product_ID]],ProductsTable[Product_ID],ProductsTable[Cost_Price],WAASIU,0,1)</f>
        <v>1378.1999999999998</v>
      </c>
      <c r="I923">
        <f>SALESTABLE[[#This Row],[Revenue]]-SALESTABLE[[#This Row],[COST]]</f>
        <v>1288.1999999999998</v>
      </c>
      <c r="J923">
        <f>SALESTABLE[[#This Row],[PROFIT]]/SALESTABLE[[#This Row],[Revenue]]*100</f>
        <v>48.312331233123309</v>
      </c>
    </row>
    <row r="924" spans="1:10" x14ac:dyDescent="0.35">
      <c r="A924" t="s">
        <v>1058</v>
      </c>
      <c r="B924" s="4">
        <v>45202</v>
      </c>
      <c r="C924" t="s">
        <v>122</v>
      </c>
      <c r="D924" t="s">
        <v>139</v>
      </c>
      <c r="E924">
        <v>19</v>
      </c>
      <c r="F924">
        <v>5</v>
      </c>
      <c r="G924" cm="1">
        <f t="array" ref="G924">SALESTABLE[[#This Row],[Quantity]]*_xlfn.XLOOKUP(SALESTABLE[[#This Row],[Product_ID]],ProductsTable[Product_ID],ProductsTable[Unit_Price],WAASIU,0,1)</f>
        <v>8685.09</v>
      </c>
      <c r="H924" cm="1">
        <f t="array" ref="H924">SALESTABLE[[#This Row],[Quantity]]*_xlfn.XLOOKUP(SALESTABLE[[#This Row],[Product_ID]],ProductsTable[Product_ID],ProductsTable[Cost_Price],WAASIU,0,1)</f>
        <v>6222.8799999999992</v>
      </c>
      <c r="I924">
        <f>SALESTABLE[[#This Row],[Revenue]]-SALESTABLE[[#This Row],[COST]]</f>
        <v>2462.2100000000009</v>
      </c>
      <c r="J924">
        <f>SALESTABLE[[#This Row],[PROFIT]]/SALESTABLE[[#This Row],[Revenue]]*100</f>
        <v>28.349850145479216</v>
      </c>
    </row>
    <row r="925" spans="1:10" x14ac:dyDescent="0.35">
      <c r="A925" t="s">
        <v>1059</v>
      </c>
      <c r="B925" s="4">
        <v>45413</v>
      </c>
      <c r="C925" t="s">
        <v>366</v>
      </c>
      <c r="D925" t="s">
        <v>107</v>
      </c>
      <c r="E925">
        <v>7</v>
      </c>
      <c r="F925">
        <v>0</v>
      </c>
      <c r="G925" cm="1">
        <f t="array" ref="G925">SALESTABLE[[#This Row],[Quantity]]*_xlfn.XLOOKUP(SALESTABLE[[#This Row],[Product_ID]],ProductsTable[Product_ID],ProductsTable[Unit_Price],WAASIU,0,1)</f>
        <v>455.07000000000005</v>
      </c>
      <c r="H925" cm="1">
        <f t="array" ref="H925">SALESTABLE[[#This Row],[Quantity]]*_xlfn.XLOOKUP(SALESTABLE[[#This Row],[Product_ID]],ProductsTable[Product_ID],ProductsTable[Cost_Price],WAASIU,0,1)</f>
        <v>257.81</v>
      </c>
      <c r="I925">
        <f>SALESTABLE[[#This Row],[Revenue]]-SALESTABLE[[#This Row],[COST]]</f>
        <v>197.26000000000005</v>
      </c>
      <c r="J925">
        <f>SALESTABLE[[#This Row],[PROFIT]]/SALESTABLE[[#This Row],[Revenue]]*100</f>
        <v>43.347177357329649</v>
      </c>
    </row>
    <row r="926" spans="1:10" x14ac:dyDescent="0.35">
      <c r="A926" t="s">
        <v>1060</v>
      </c>
      <c r="B926" s="4">
        <v>44968</v>
      </c>
      <c r="C926" t="s">
        <v>118</v>
      </c>
      <c r="D926" t="s">
        <v>57</v>
      </c>
      <c r="E926">
        <v>11</v>
      </c>
      <c r="F926">
        <v>5</v>
      </c>
      <c r="G926" cm="1">
        <f t="array" ref="G926">SALESTABLE[[#This Row],[Quantity]]*_xlfn.XLOOKUP(SALESTABLE[[#This Row],[Product_ID]],ProductsTable[Product_ID],ProductsTable[Unit_Price],WAASIU,0,1)</f>
        <v>1747.13</v>
      </c>
      <c r="H926" cm="1">
        <f t="array" ref="H926">SALESTABLE[[#This Row],[Quantity]]*_xlfn.XLOOKUP(SALESTABLE[[#This Row],[Product_ID]],ProductsTable[Product_ID],ProductsTable[Cost_Price],WAASIU,0,1)</f>
        <v>1396.34</v>
      </c>
      <c r="I926">
        <f>SALESTABLE[[#This Row],[Revenue]]-SALESTABLE[[#This Row],[COST]]</f>
        <v>350.79000000000019</v>
      </c>
      <c r="J926">
        <f>SALESTABLE[[#This Row],[PROFIT]]/SALESTABLE[[#This Row],[Revenue]]*100</f>
        <v>20.078070893408057</v>
      </c>
    </row>
    <row r="927" spans="1:10" x14ac:dyDescent="0.35">
      <c r="A927" t="s">
        <v>1061</v>
      </c>
      <c r="B927" s="4">
        <v>45630</v>
      </c>
      <c r="C927" t="s">
        <v>318</v>
      </c>
      <c r="D927" t="s">
        <v>49</v>
      </c>
      <c r="E927">
        <v>4</v>
      </c>
      <c r="F927">
        <v>10</v>
      </c>
      <c r="G927" cm="1">
        <f t="array" ref="G927">SALESTABLE[[#This Row],[Quantity]]*_xlfn.XLOOKUP(SALESTABLE[[#This Row],[Product_ID]],ProductsTable[Product_ID],ProductsTable[Unit_Price],WAASIU,0,1)</f>
        <v>918.52</v>
      </c>
      <c r="H927" cm="1">
        <f t="array" ref="H927">SALESTABLE[[#This Row],[Quantity]]*_xlfn.XLOOKUP(SALESTABLE[[#This Row],[Product_ID]],ProductsTable[Product_ID],ProductsTable[Cost_Price],WAASIU,0,1)</f>
        <v>525.67999999999995</v>
      </c>
      <c r="I927">
        <f>SALESTABLE[[#This Row],[Revenue]]-SALESTABLE[[#This Row],[COST]]</f>
        <v>392.84000000000003</v>
      </c>
      <c r="J927">
        <f>SALESTABLE[[#This Row],[PROFIT]]/SALESTABLE[[#This Row],[Revenue]]*100</f>
        <v>42.76880198580325</v>
      </c>
    </row>
    <row r="928" spans="1:10" x14ac:dyDescent="0.35">
      <c r="A928" t="s">
        <v>1062</v>
      </c>
      <c r="B928" s="4">
        <v>45094</v>
      </c>
      <c r="C928" t="s">
        <v>177</v>
      </c>
      <c r="D928" t="s">
        <v>97</v>
      </c>
      <c r="E928">
        <v>13</v>
      </c>
      <c r="F928">
        <v>20</v>
      </c>
      <c r="G928" cm="1">
        <f t="array" ref="G928">SALESTABLE[[#This Row],[Quantity]]*_xlfn.XLOOKUP(SALESTABLE[[#This Row],[Product_ID]],ProductsTable[Product_ID],ProductsTable[Unit_Price],WAASIU,0,1)</f>
        <v>4032.7299999999996</v>
      </c>
      <c r="H928" cm="1">
        <f t="array" ref="H928">SALESTABLE[[#This Row],[Quantity]]*_xlfn.XLOOKUP(SALESTABLE[[#This Row],[Product_ID]],ProductsTable[Product_ID],ProductsTable[Cost_Price],WAASIU,0,1)</f>
        <v>2928.77</v>
      </c>
      <c r="I928">
        <f>SALESTABLE[[#This Row],[Revenue]]-SALESTABLE[[#This Row],[COST]]</f>
        <v>1103.9599999999996</v>
      </c>
      <c r="J928">
        <f>SALESTABLE[[#This Row],[PROFIT]]/SALESTABLE[[#This Row],[Revenue]]*100</f>
        <v>27.375004029528377</v>
      </c>
    </row>
    <row r="929" spans="1:10" x14ac:dyDescent="0.35">
      <c r="A929" t="s">
        <v>1063</v>
      </c>
      <c r="B929" s="4">
        <v>45264</v>
      </c>
      <c r="C929" t="s">
        <v>88</v>
      </c>
      <c r="D929" t="s">
        <v>110</v>
      </c>
      <c r="E929">
        <v>20</v>
      </c>
      <c r="F929">
        <v>5</v>
      </c>
      <c r="G929" cm="1">
        <f t="array" ref="G929">SALESTABLE[[#This Row],[Quantity]]*_xlfn.XLOOKUP(SALESTABLE[[#This Row],[Product_ID]],ProductsTable[Product_ID],ProductsTable[Unit_Price],WAASIU,0,1)</f>
        <v>9826.4</v>
      </c>
      <c r="H929" cm="1">
        <f t="array" ref="H929">SALESTABLE[[#This Row],[Quantity]]*_xlfn.XLOOKUP(SALESTABLE[[#This Row],[Product_ID]],ProductsTable[Product_ID],ProductsTable[Cost_Price],WAASIU,0,1)</f>
        <v>5362.2000000000007</v>
      </c>
      <c r="I929">
        <f>SALESTABLE[[#This Row],[Revenue]]-SALESTABLE[[#This Row],[COST]]</f>
        <v>4464.1999999999989</v>
      </c>
      <c r="J929">
        <f>SALESTABLE[[#This Row],[PROFIT]]/SALESTABLE[[#This Row],[Revenue]]*100</f>
        <v>45.430676544818034</v>
      </c>
    </row>
    <row r="930" spans="1:10" x14ac:dyDescent="0.35">
      <c r="A930" t="s">
        <v>1064</v>
      </c>
      <c r="B930" s="4">
        <v>45574</v>
      </c>
      <c r="C930" t="s">
        <v>136</v>
      </c>
      <c r="D930" t="s">
        <v>139</v>
      </c>
      <c r="E930">
        <v>9</v>
      </c>
      <c r="F930">
        <v>20</v>
      </c>
      <c r="G930" cm="1">
        <f t="array" ref="G930">SALESTABLE[[#This Row],[Quantity]]*_xlfn.XLOOKUP(SALESTABLE[[#This Row],[Product_ID]],ProductsTable[Product_ID],ProductsTable[Unit_Price],WAASIU,0,1)</f>
        <v>4113.99</v>
      </c>
      <c r="H930" cm="1">
        <f t="array" ref="H930">SALESTABLE[[#This Row],[Quantity]]*_xlfn.XLOOKUP(SALESTABLE[[#This Row],[Product_ID]],ProductsTable[Product_ID],ProductsTable[Cost_Price],WAASIU,0,1)</f>
        <v>2947.68</v>
      </c>
      <c r="I930">
        <f>SALESTABLE[[#This Row],[Revenue]]-SALESTABLE[[#This Row],[COST]]</f>
        <v>1166.31</v>
      </c>
      <c r="J930">
        <f>SALESTABLE[[#This Row],[PROFIT]]/SALESTABLE[[#This Row],[Revenue]]*100</f>
        <v>28.349850145479206</v>
      </c>
    </row>
    <row r="931" spans="1:10" x14ac:dyDescent="0.35">
      <c r="A931" t="s">
        <v>1065</v>
      </c>
      <c r="B931" s="4">
        <v>45118</v>
      </c>
      <c r="C931" t="s">
        <v>179</v>
      </c>
      <c r="D931" t="s">
        <v>93</v>
      </c>
      <c r="E931">
        <v>13</v>
      </c>
      <c r="F931">
        <v>15</v>
      </c>
      <c r="G931" cm="1">
        <f t="array" ref="G931">SALESTABLE[[#This Row],[Quantity]]*_xlfn.XLOOKUP(SALESTABLE[[#This Row],[Product_ID]],ProductsTable[Product_ID],ProductsTable[Unit_Price],WAASIU,0,1)</f>
        <v>2782.39</v>
      </c>
      <c r="H931" cm="1">
        <f t="array" ref="H931">SALESTABLE[[#This Row],[Quantity]]*_xlfn.XLOOKUP(SALESTABLE[[#This Row],[Product_ID]],ProductsTable[Product_ID],ProductsTable[Cost_Price],WAASIU,0,1)</f>
        <v>2037.23</v>
      </c>
      <c r="I931">
        <f>SALESTABLE[[#This Row],[Revenue]]-SALESTABLE[[#This Row],[COST]]</f>
        <v>745.15999999999985</v>
      </c>
      <c r="J931">
        <f>SALESTABLE[[#This Row],[PROFIT]]/SALESTABLE[[#This Row],[Revenue]]*100</f>
        <v>26.781292342195016</v>
      </c>
    </row>
    <row r="932" spans="1:10" x14ac:dyDescent="0.35">
      <c r="A932" t="s">
        <v>1066</v>
      </c>
      <c r="B932" s="4">
        <v>45111</v>
      </c>
      <c r="C932" t="s">
        <v>122</v>
      </c>
      <c r="D932" t="s">
        <v>22</v>
      </c>
      <c r="E932">
        <v>7</v>
      </c>
      <c r="F932">
        <v>15</v>
      </c>
      <c r="G932" cm="1">
        <f t="array" ref="G932">SALESTABLE[[#This Row],[Quantity]]*_xlfn.XLOOKUP(SALESTABLE[[#This Row],[Product_ID]],ProductsTable[Product_ID],ProductsTable[Unit_Price],WAASIU,0,1)</f>
        <v>2937.69</v>
      </c>
      <c r="H932" cm="1">
        <f t="array" ref="H932">SALESTABLE[[#This Row],[Quantity]]*_xlfn.XLOOKUP(SALESTABLE[[#This Row],[Product_ID]],ProductsTable[Product_ID],ProductsTable[Cost_Price],WAASIU,0,1)</f>
        <v>1493.9399999999998</v>
      </c>
      <c r="I932">
        <f>SALESTABLE[[#This Row],[Revenue]]-SALESTABLE[[#This Row],[COST]]</f>
        <v>1443.7500000000002</v>
      </c>
      <c r="J932">
        <f>SALESTABLE[[#This Row],[PROFIT]]/SALESTABLE[[#This Row],[Revenue]]*100</f>
        <v>49.145757380799203</v>
      </c>
    </row>
    <row r="933" spans="1:10" x14ac:dyDescent="0.35">
      <c r="A933" t="s">
        <v>1067</v>
      </c>
      <c r="B933" s="4">
        <v>45584</v>
      </c>
      <c r="C933" t="s">
        <v>284</v>
      </c>
      <c r="D933" t="s">
        <v>107</v>
      </c>
      <c r="E933">
        <v>3</v>
      </c>
      <c r="F933">
        <v>10</v>
      </c>
      <c r="G933" cm="1">
        <f t="array" ref="G933">SALESTABLE[[#This Row],[Quantity]]*_xlfn.XLOOKUP(SALESTABLE[[#This Row],[Product_ID]],ProductsTable[Product_ID],ProductsTable[Unit_Price],WAASIU,0,1)</f>
        <v>195.03000000000003</v>
      </c>
      <c r="H933" cm="1">
        <f t="array" ref="H933">SALESTABLE[[#This Row],[Quantity]]*_xlfn.XLOOKUP(SALESTABLE[[#This Row],[Product_ID]],ProductsTable[Product_ID],ProductsTable[Cost_Price],WAASIU,0,1)</f>
        <v>110.49</v>
      </c>
      <c r="I933">
        <f>SALESTABLE[[#This Row],[Revenue]]-SALESTABLE[[#This Row],[COST]]</f>
        <v>84.540000000000035</v>
      </c>
      <c r="J933">
        <f>SALESTABLE[[#This Row],[PROFIT]]/SALESTABLE[[#This Row],[Revenue]]*100</f>
        <v>43.347177357329656</v>
      </c>
    </row>
    <row r="934" spans="1:10" x14ac:dyDescent="0.35">
      <c r="A934" t="s">
        <v>1068</v>
      </c>
      <c r="B934" s="4">
        <v>45177</v>
      </c>
      <c r="C934" t="s">
        <v>331</v>
      </c>
      <c r="D934" t="s">
        <v>44</v>
      </c>
      <c r="E934">
        <v>7</v>
      </c>
      <c r="F934">
        <v>20</v>
      </c>
      <c r="G934" cm="1">
        <f t="array" ref="G934">SALESTABLE[[#This Row],[Quantity]]*_xlfn.XLOOKUP(SALESTABLE[[#This Row],[Product_ID]],ProductsTable[Product_ID],ProductsTable[Unit_Price],WAASIU,0,1)</f>
        <v>939.32999999999993</v>
      </c>
      <c r="H934" cm="1">
        <f t="array" ref="H934">SALESTABLE[[#This Row],[Quantity]]*_xlfn.XLOOKUP(SALESTABLE[[#This Row],[Product_ID]],ProductsTable[Product_ID],ProductsTable[Cost_Price],WAASIU,0,1)</f>
        <v>583.24</v>
      </c>
      <c r="I934">
        <f>SALESTABLE[[#This Row],[Revenue]]-SALESTABLE[[#This Row],[COST]]</f>
        <v>356.08999999999992</v>
      </c>
      <c r="J934">
        <f>SALESTABLE[[#This Row],[PROFIT]]/SALESTABLE[[#This Row],[Revenue]]*100</f>
        <v>37.90893509203368</v>
      </c>
    </row>
    <row r="935" spans="1:10" x14ac:dyDescent="0.35">
      <c r="A935" t="s">
        <v>1069</v>
      </c>
      <c r="B935" s="4">
        <v>45269</v>
      </c>
      <c r="C935" t="s">
        <v>51</v>
      </c>
      <c r="D935" t="s">
        <v>8</v>
      </c>
      <c r="E935">
        <v>16</v>
      </c>
      <c r="F935">
        <v>10</v>
      </c>
      <c r="G935" cm="1">
        <f t="array" ref="G935">SALESTABLE[[#This Row],[Quantity]]*_xlfn.XLOOKUP(SALESTABLE[[#This Row],[Product_ID]],ProductsTable[Product_ID],ProductsTable[Unit_Price],WAASIU,0,1)</f>
        <v>5381.12</v>
      </c>
      <c r="H935" cm="1">
        <f t="array" ref="H935">SALESTABLE[[#This Row],[Quantity]]*_xlfn.XLOOKUP(SALESTABLE[[#This Row],[Product_ID]],ProductsTable[Product_ID],ProductsTable[Cost_Price],WAASIU,0,1)</f>
        <v>3644.48</v>
      </c>
      <c r="I935">
        <f>SALESTABLE[[#This Row],[Revenue]]-SALESTABLE[[#This Row],[COST]]</f>
        <v>1736.6399999999999</v>
      </c>
      <c r="J935">
        <f>SALESTABLE[[#This Row],[PROFIT]]/SALESTABLE[[#This Row],[Revenue]]*100</f>
        <v>32.272835394862028</v>
      </c>
    </row>
    <row r="936" spans="1:10" x14ac:dyDescent="0.35">
      <c r="A936" t="s">
        <v>1070</v>
      </c>
      <c r="B936" s="4">
        <v>44961</v>
      </c>
      <c r="C936" t="s">
        <v>195</v>
      </c>
      <c r="D936" t="s">
        <v>31</v>
      </c>
      <c r="E936">
        <v>1</v>
      </c>
      <c r="F936">
        <v>0</v>
      </c>
      <c r="G936" cm="1">
        <f t="array" ref="G936">SALESTABLE[[#This Row],[Quantity]]*_xlfn.XLOOKUP(SALESTABLE[[#This Row],[Product_ID]],ProductsTable[Product_ID],ProductsTable[Unit_Price],WAASIU,0,1)</f>
        <v>173.14</v>
      </c>
      <c r="H936" cm="1">
        <f t="array" ref="H936">SALESTABLE[[#This Row],[Quantity]]*_xlfn.XLOOKUP(SALESTABLE[[#This Row],[Product_ID]],ProductsTable[Product_ID],ProductsTable[Cost_Price],WAASIU,0,1)</f>
        <v>100.29</v>
      </c>
      <c r="I936">
        <f>SALESTABLE[[#This Row],[Revenue]]-SALESTABLE[[#This Row],[COST]]</f>
        <v>72.84999999999998</v>
      </c>
      <c r="J936">
        <f>SALESTABLE[[#This Row],[PROFIT]]/SALESTABLE[[#This Row],[Revenue]]*100</f>
        <v>42.075776828000457</v>
      </c>
    </row>
    <row r="937" spans="1:10" x14ac:dyDescent="0.35">
      <c r="A937" t="s">
        <v>1071</v>
      </c>
      <c r="B937" s="4">
        <v>45464</v>
      </c>
      <c r="C937" t="s">
        <v>51</v>
      </c>
      <c r="D937" t="s">
        <v>93</v>
      </c>
      <c r="E937">
        <v>15</v>
      </c>
      <c r="F937">
        <v>5</v>
      </c>
      <c r="G937" cm="1">
        <f t="array" ref="G937">SALESTABLE[[#This Row],[Quantity]]*_xlfn.XLOOKUP(SALESTABLE[[#This Row],[Product_ID]],ProductsTable[Product_ID],ProductsTable[Unit_Price],WAASIU,0,1)</f>
        <v>3210.45</v>
      </c>
      <c r="H937" cm="1">
        <f t="array" ref="H937">SALESTABLE[[#This Row],[Quantity]]*_xlfn.XLOOKUP(SALESTABLE[[#This Row],[Product_ID]],ProductsTable[Product_ID],ProductsTable[Cost_Price],WAASIU,0,1)</f>
        <v>2350.65</v>
      </c>
      <c r="I937">
        <f>SALESTABLE[[#This Row],[Revenue]]-SALESTABLE[[#This Row],[COST]]</f>
        <v>859.79999999999973</v>
      </c>
      <c r="J937">
        <f>SALESTABLE[[#This Row],[PROFIT]]/SALESTABLE[[#This Row],[Revenue]]*100</f>
        <v>26.781292342195012</v>
      </c>
    </row>
    <row r="938" spans="1:10" x14ac:dyDescent="0.35">
      <c r="A938" t="s">
        <v>1072</v>
      </c>
      <c r="B938" s="4">
        <v>45412</v>
      </c>
      <c r="C938" t="s">
        <v>21</v>
      </c>
      <c r="D938" t="s">
        <v>113</v>
      </c>
      <c r="E938">
        <v>14</v>
      </c>
      <c r="F938">
        <v>20</v>
      </c>
      <c r="G938" cm="1">
        <f t="array" ref="G938">SALESTABLE[[#This Row],[Quantity]]*_xlfn.XLOOKUP(SALESTABLE[[#This Row],[Product_ID]],ProductsTable[Product_ID],ProductsTable[Unit_Price],WAASIU,0,1)</f>
        <v>4719.2599999999993</v>
      </c>
      <c r="H938" cm="1">
        <f t="array" ref="H938">SALESTABLE[[#This Row],[Quantity]]*_xlfn.XLOOKUP(SALESTABLE[[#This Row],[Product_ID]],ProductsTable[Product_ID],ProductsTable[Cost_Price],WAASIU,0,1)</f>
        <v>2609.7399999999998</v>
      </c>
      <c r="I938">
        <f>SALESTABLE[[#This Row],[Revenue]]-SALESTABLE[[#This Row],[COST]]</f>
        <v>2109.5199999999995</v>
      </c>
      <c r="J938">
        <f>SALESTABLE[[#This Row],[PROFIT]]/SALESTABLE[[#This Row],[Revenue]]*100</f>
        <v>44.700228425643004</v>
      </c>
    </row>
    <row r="939" spans="1:10" x14ac:dyDescent="0.35">
      <c r="A939" t="s">
        <v>1073</v>
      </c>
      <c r="B939" s="4">
        <v>45152</v>
      </c>
      <c r="C939" t="s">
        <v>106</v>
      </c>
      <c r="D939" t="s">
        <v>41</v>
      </c>
      <c r="E939">
        <v>15</v>
      </c>
      <c r="F939">
        <v>0</v>
      </c>
      <c r="G939" cm="1">
        <f t="array" ref="G939">SALESTABLE[[#This Row],[Quantity]]*_xlfn.XLOOKUP(SALESTABLE[[#This Row],[Product_ID]],ProductsTable[Product_ID],ProductsTable[Unit_Price],WAASIU,0,1)</f>
        <v>6386.25</v>
      </c>
      <c r="H939" cm="1">
        <f t="array" ref="H939">SALESTABLE[[#This Row],[Quantity]]*_xlfn.XLOOKUP(SALESTABLE[[#This Row],[Product_ID]],ProductsTable[Product_ID],ProductsTable[Cost_Price],WAASIU,0,1)</f>
        <v>3646.95</v>
      </c>
      <c r="I939">
        <f>SALESTABLE[[#This Row],[Revenue]]-SALESTABLE[[#This Row],[COST]]</f>
        <v>2739.3</v>
      </c>
      <c r="J939">
        <f>SALESTABLE[[#This Row],[PROFIT]]/SALESTABLE[[#This Row],[Revenue]]*100</f>
        <v>42.89371697005285</v>
      </c>
    </row>
    <row r="940" spans="1:10" x14ac:dyDescent="0.35">
      <c r="A940" t="s">
        <v>1074</v>
      </c>
      <c r="B940" s="4">
        <v>45242</v>
      </c>
      <c r="C940" t="s">
        <v>116</v>
      </c>
      <c r="D940" t="s">
        <v>25</v>
      </c>
      <c r="E940">
        <v>12</v>
      </c>
      <c r="F940">
        <v>20</v>
      </c>
      <c r="G940" cm="1">
        <f t="array" ref="G940">SALESTABLE[[#This Row],[Quantity]]*_xlfn.XLOOKUP(SALESTABLE[[#This Row],[Product_ID]],ProductsTable[Product_ID],ProductsTable[Unit_Price],WAASIU,0,1)</f>
        <v>2133.12</v>
      </c>
      <c r="H940" cm="1">
        <f t="array" ref="H940">SALESTABLE[[#This Row],[Quantity]]*_xlfn.XLOOKUP(SALESTABLE[[#This Row],[Product_ID]],ProductsTable[Product_ID],ProductsTable[Cost_Price],WAASIU,0,1)</f>
        <v>1102.56</v>
      </c>
      <c r="I940">
        <f>SALESTABLE[[#This Row],[Revenue]]-SALESTABLE[[#This Row],[COST]]</f>
        <v>1030.56</v>
      </c>
      <c r="J940">
        <f>SALESTABLE[[#This Row],[PROFIT]]/SALESTABLE[[#This Row],[Revenue]]*100</f>
        <v>48.312331233123309</v>
      </c>
    </row>
    <row r="941" spans="1:10" x14ac:dyDescent="0.35">
      <c r="A941" t="s">
        <v>1075</v>
      </c>
      <c r="B941" s="4">
        <v>45341</v>
      </c>
      <c r="C941" t="s">
        <v>193</v>
      </c>
      <c r="D941" t="s">
        <v>100</v>
      </c>
      <c r="E941">
        <v>1</v>
      </c>
      <c r="F941">
        <v>15</v>
      </c>
      <c r="G941" cm="1">
        <f t="array" ref="G941">SALESTABLE[[#This Row],[Quantity]]*_xlfn.XLOOKUP(SALESTABLE[[#This Row],[Product_ID]],ProductsTable[Product_ID],ProductsTable[Unit_Price],WAASIU,0,1)</f>
        <v>409.32</v>
      </c>
      <c r="H941" cm="1">
        <f t="array" ref="H941">SALESTABLE[[#This Row],[Quantity]]*_xlfn.XLOOKUP(SALESTABLE[[#This Row],[Product_ID]],ProductsTable[Product_ID],ProductsTable[Cost_Price],WAASIU,0,1)</f>
        <v>212.65</v>
      </c>
      <c r="I941">
        <f>SALESTABLE[[#This Row],[Revenue]]-SALESTABLE[[#This Row],[COST]]</f>
        <v>196.67</v>
      </c>
      <c r="J941">
        <f>SALESTABLE[[#This Row],[PROFIT]]/SALESTABLE[[#This Row],[Revenue]]*100</f>
        <v>48.047982018958265</v>
      </c>
    </row>
    <row r="942" spans="1:10" x14ac:dyDescent="0.35">
      <c r="A942" t="s">
        <v>1076</v>
      </c>
      <c r="B942" s="4">
        <v>45546</v>
      </c>
      <c r="C942" t="s">
        <v>177</v>
      </c>
      <c r="D942" t="s">
        <v>44</v>
      </c>
      <c r="E942">
        <v>3</v>
      </c>
      <c r="F942">
        <v>15</v>
      </c>
      <c r="G942" cm="1">
        <f t="array" ref="G942">SALESTABLE[[#This Row],[Quantity]]*_xlfn.XLOOKUP(SALESTABLE[[#This Row],[Product_ID]],ProductsTable[Product_ID],ProductsTable[Unit_Price],WAASIU,0,1)</f>
        <v>402.57</v>
      </c>
      <c r="H942" cm="1">
        <f t="array" ref="H942">SALESTABLE[[#This Row],[Quantity]]*_xlfn.XLOOKUP(SALESTABLE[[#This Row],[Product_ID]],ProductsTable[Product_ID],ProductsTable[Cost_Price],WAASIU,0,1)</f>
        <v>249.95999999999998</v>
      </c>
      <c r="I942">
        <f>SALESTABLE[[#This Row],[Revenue]]-SALESTABLE[[#This Row],[COST]]</f>
        <v>152.61000000000001</v>
      </c>
      <c r="J942">
        <f>SALESTABLE[[#This Row],[PROFIT]]/SALESTABLE[[#This Row],[Revenue]]*100</f>
        <v>37.908935092033687</v>
      </c>
    </row>
    <row r="943" spans="1:10" x14ac:dyDescent="0.35">
      <c r="A943" t="s">
        <v>1077</v>
      </c>
      <c r="B943" s="4">
        <v>45226</v>
      </c>
      <c r="C943" t="s">
        <v>51</v>
      </c>
      <c r="D943" t="s">
        <v>125</v>
      </c>
      <c r="E943">
        <v>10</v>
      </c>
      <c r="F943">
        <v>10</v>
      </c>
      <c r="G943" cm="1">
        <f t="array" ref="G943">SALESTABLE[[#This Row],[Quantity]]*_xlfn.XLOOKUP(SALESTABLE[[#This Row],[Product_ID]],ProductsTable[Product_ID],ProductsTable[Unit_Price],WAASIU,0,1)</f>
        <v>3347</v>
      </c>
      <c r="H943" cm="1">
        <f t="array" ref="H943">SALESTABLE[[#This Row],[Quantity]]*_xlfn.XLOOKUP(SALESTABLE[[#This Row],[Product_ID]],ProductsTable[Product_ID],ProductsTable[Cost_Price],WAASIU,0,1)</f>
        <v>2495.2000000000003</v>
      </c>
      <c r="I943">
        <f>SALESTABLE[[#This Row],[Revenue]]-SALESTABLE[[#This Row],[COST]]</f>
        <v>851.79999999999973</v>
      </c>
      <c r="J943">
        <f>SALESTABLE[[#This Row],[PROFIT]]/SALESTABLE[[#This Row],[Revenue]]*100</f>
        <v>25.449656408724223</v>
      </c>
    </row>
    <row r="944" spans="1:10" x14ac:dyDescent="0.35">
      <c r="A944" t="s">
        <v>1078</v>
      </c>
      <c r="B944" s="4">
        <v>45653</v>
      </c>
      <c r="C944" t="s">
        <v>156</v>
      </c>
      <c r="D944" t="s">
        <v>19</v>
      </c>
      <c r="E944">
        <v>20</v>
      </c>
      <c r="F944">
        <v>5</v>
      </c>
      <c r="G944" cm="1">
        <f t="array" ref="G944">SALESTABLE[[#This Row],[Quantity]]*_xlfn.XLOOKUP(SALESTABLE[[#This Row],[Product_ID]],ProductsTable[Product_ID],ProductsTable[Unit_Price],WAASIU,0,1)</f>
        <v>1215.2</v>
      </c>
      <c r="H944" cm="1">
        <f t="array" ref="H944">SALESTABLE[[#This Row],[Quantity]]*_xlfn.XLOOKUP(SALESTABLE[[#This Row],[Product_ID]],ProductsTable[Product_ID],ProductsTable[Cost_Price],WAASIU,0,1)</f>
        <v>809</v>
      </c>
      <c r="I944">
        <f>SALESTABLE[[#This Row],[Revenue]]-SALESTABLE[[#This Row],[COST]]</f>
        <v>406.20000000000005</v>
      </c>
      <c r="J944">
        <f>SALESTABLE[[#This Row],[PROFIT]]/SALESTABLE[[#This Row],[Revenue]]*100</f>
        <v>33.426596445029624</v>
      </c>
    </row>
    <row r="945" spans="1:10" x14ac:dyDescent="0.35">
      <c r="A945" t="s">
        <v>1079</v>
      </c>
      <c r="B945" s="4">
        <v>44931</v>
      </c>
      <c r="C945" t="s">
        <v>602</v>
      </c>
      <c r="D945" t="s">
        <v>34</v>
      </c>
      <c r="E945">
        <v>5</v>
      </c>
      <c r="F945">
        <v>5</v>
      </c>
      <c r="G945" cm="1">
        <f t="array" ref="G945">SALESTABLE[[#This Row],[Quantity]]*_xlfn.XLOOKUP(SALESTABLE[[#This Row],[Product_ID]],ProductsTable[Product_ID],ProductsTable[Unit_Price],WAASIU,0,1)</f>
        <v>1643.75</v>
      </c>
      <c r="H945" cm="1">
        <f t="array" ref="H945">SALESTABLE[[#This Row],[Quantity]]*_xlfn.XLOOKUP(SALESTABLE[[#This Row],[Product_ID]],ProductsTable[Product_ID],ProductsTable[Cost_Price],WAASIU,0,1)</f>
        <v>1165.9000000000001</v>
      </c>
      <c r="I945">
        <f>SALESTABLE[[#This Row],[Revenue]]-SALESTABLE[[#This Row],[COST]]</f>
        <v>477.84999999999991</v>
      </c>
      <c r="J945">
        <f>SALESTABLE[[#This Row],[PROFIT]]/SALESTABLE[[#This Row],[Revenue]]*100</f>
        <v>29.070722433460073</v>
      </c>
    </row>
    <row r="946" spans="1:10" x14ac:dyDescent="0.35">
      <c r="A946" t="s">
        <v>1080</v>
      </c>
      <c r="B946" s="4">
        <v>45306</v>
      </c>
      <c r="C946" t="s">
        <v>48</v>
      </c>
      <c r="D946" t="s">
        <v>77</v>
      </c>
      <c r="E946">
        <v>2</v>
      </c>
      <c r="F946">
        <v>15</v>
      </c>
      <c r="G946" cm="1">
        <f t="array" ref="G946">SALESTABLE[[#This Row],[Quantity]]*_xlfn.XLOOKUP(SALESTABLE[[#This Row],[Product_ID]],ProductsTable[Product_ID],ProductsTable[Unit_Price],WAASIU,0,1)</f>
        <v>183.6</v>
      </c>
      <c r="H946" cm="1">
        <f t="array" ref="H946">SALESTABLE[[#This Row],[Quantity]]*_xlfn.XLOOKUP(SALESTABLE[[#This Row],[Product_ID]],ProductsTable[Product_ID],ProductsTable[Cost_Price],WAASIU,0,1)</f>
        <v>97.94</v>
      </c>
      <c r="I946">
        <f>SALESTABLE[[#This Row],[Revenue]]-SALESTABLE[[#This Row],[COST]]</f>
        <v>85.66</v>
      </c>
      <c r="J946">
        <f>SALESTABLE[[#This Row],[PROFIT]]/SALESTABLE[[#This Row],[Revenue]]*100</f>
        <v>46.655773420479299</v>
      </c>
    </row>
    <row r="947" spans="1:10" x14ac:dyDescent="0.35">
      <c r="A947" t="s">
        <v>1081</v>
      </c>
      <c r="B947" s="4">
        <v>44974</v>
      </c>
      <c r="C947" t="s">
        <v>193</v>
      </c>
      <c r="D947" t="s">
        <v>133</v>
      </c>
      <c r="E947">
        <v>5</v>
      </c>
      <c r="F947">
        <v>0</v>
      </c>
      <c r="G947" cm="1">
        <f t="array" ref="G947">SALESTABLE[[#This Row],[Quantity]]*_xlfn.XLOOKUP(SALESTABLE[[#This Row],[Product_ID]],ProductsTable[Product_ID],ProductsTable[Unit_Price],WAASIU,0,1)</f>
        <v>1755</v>
      </c>
      <c r="H947" cm="1">
        <f t="array" ref="H947">SALESTABLE[[#This Row],[Quantity]]*_xlfn.XLOOKUP(SALESTABLE[[#This Row],[Product_ID]],ProductsTable[Product_ID],ProductsTable[Cost_Price],WAASIU,0,1)</f>
        <v>1168.1500000000001</v>
      </c>
      <c r="I947">
        <f>SALESTABLE[[#This Row],[Revenue]]-SALESTABLE[[#This Row],[COST]]</f>
        <v>586.84999999999991</v>
      </c>
      <c r="J947">
        <f>SALESTABLE[[#This Row],[PROFIT]]/SALESTABLE[[#This Row],[Revenue]]*100</f>
        <v>33.438746438746435</v>
      </c>
    </row>
    <row r="948" spans="1:10" x14ac:dyDescent="0.35">
      <c r="A948" t="s">
        <v>1082</v>
      </c>
      <c r="B948" s="4">
        <v>44947</v>
      </c>
      <c r="C948" t="s">
        <v>122</v>
      </c>
      <c r="D948" t="s">
        <v>22</v>
      </c>
      <c r="E948">
        <v>2</v>
      </c>
      <c r="F948">
        <v>10</v>
      </c>
      <c r="G948" cm="1">
        <f t="array" ref="G948">SALESTABLE[[#This Row],[Quantity]]*_xlfn.XLOOKUP(SALESTABLE[[#This Row],[Product_ID]],ProductsTable[Product_ID],ProductsTable[Unit_Price],WAASIU,0,1)</f>
        <v>839.34</v>
      </c>
      <c r="H948" cm="1">
        <f t="array" ref="H948">SALESTABLE[[#This Row],[Quantity]]*_xlfn.XLOOKUP(SALESTABLE[[#This Row],[Product_ID]],ProductsTable[Product_ID],ProductsTable[Cost_Price],WAASIU,0,1)</f>
        <v>426.84</v>
      </c>
      <c r="I948">
        <f>SALESTABLE[[#This Row],[Revenue]]-SALESTABLE[[#This Row],[COST]]</f>
        <v>412.50000000000006</v>
      </c>
      <c r="J948">
        <f>SALESTABLE[[#This Row],[PROFIT]]/SALESTABLE[[#This Row],[Revenue]]*100</f>
        <v>49.145757380799203</v>
      </c>
    </row>
    <row r="949" spans="1:10" x14ac:dyDescent="0.35">
      <c r="A949" t="s">
        <v>1083</v>
      </c>
      <c r="B949" s="4">
        <v>45247</v>
      </c>
      <c r="C949" t="s">
        <v>48</v>
      </c>
      <c r="D949" t="s">
        <v>133</v>
      </c>
      <c r="E949">
        <v>3</v>
      </c>
      <c r="F949">
        <v>15</v>
      </c>
      <c r="G949" cm="1">
        <f t="array" ref="G949">SALESTABLE[[#This Row],[Quantity]]*_xlfn.XLOOKUP(SALESTABLE[[#This Row],[Product_ID]],ProductsTable[Product_ID],ProductsTable[Unit_Price],WAASIU,0,1)</f>
        <v>1053</v>
      </c>
      <c r="H949" cm="1">
        <f t="array" ref="H949">SALESTABLE[[#This Row],[Quantity]]*_xlfn.XLOOKUP(SALESTABLE[[#This Row],[Product_ID]],ProductsTable[Product_ID],ProductsTable[Cost_Price],WAASIU,0,1)</f>
        <v>700.89</v>
      </c>
      <c r="I949">
        <f>SALESTABLE[[#This Row],[Revenue]]-SALESTABLE[[#This Row],[COST]]</f>
        <v>352.11</v>
      </c>
      <c r="J949">
        <f>SALESTABLE[[#This Row],[PROFIT]]/SALESTABLE[[#This Row],[Revenue]]*100</f>
        <v>33.438746438746442</v>
      </c>
    </row>
    <row r="950" spans="1:10" x14ac:dyDescent="0.35">
      <c r="A950" t="s">
        <v>1084</v>
      </c>
      <c r="B950" s="4">
        <v>45526</v>
      </c>
      <c r="C950" t="s">
        <v>27</v>
      </c>
      <c r="D950" t="s">
        <v>137</v>
      </c>
      <c r="E950">
        <v>1</v>
      </c>
      <c r="F950">
        <v>0</v>
      </c>
      <c r="G950" cm="1">
        <f t="array" ref="G950">SALESTABLE[[#This Row],[Quantity]]*_xlfn.XLOOKUP(SALESTABLE[[#This Row],[Product_ID]],ProductsTable[Product_ID],ProductsTable[Unit_Price],WAASIU,0,1)</f>
        <v>363.44</v>
      </c>
      <c r="H950" cm="1">
        <f t="array" ref="H950">SALESTABLE[[#This Row],[Quantity]]*_xlfn.XLOOKUP(SALESTABLE[[#This Row],[Product_ID]],ProductsTable[Product_ID],ProductsTable[Cost_Price],WAASIU,0,1)</f>
        <v>250.05</v>
      </c>
      <c r="I950">
        <f>SALESTABLE[[#This Row],[Revenue]]-SALESTABLE[[#This Row],[COST]]</f>
        <v>113.38999999999999</v>
      </c>
      <c r="J950">
        <f>SALESTABLE[[#This Row],[PROFIT]]/SALESTABLE[[#This Row],[Revenue]]*100</f>
        <v>31.199097512656831</v>
      </c>
    </row>
    <row r="951" spans="1:10" x14ac:dyDescent="0.35">
      <c r="A951" t="s">
        <v>1085</v>
      </c>
      <c r="B951" s="4">
        <v>45325</v>
      </c>
      <c r="C951" t="s">
        <v>177</v>
      </c>
      <c r="D951" t="s">
        <v>125</v>
      </c>
      <c r="E951">
        <v>19</v>
      </c>
      <c r="F951">
        <v>5</v>
      </c>
      <c r="G951" cm="1">
        <f t="array" ref="G951">SALESTABLE[[#This Row],[Quantity]]*_xlfn.XLOOKUP(SALESTABLE[[#This Row],[Product_ID]],ProductsTable[Product_ID],ProductsTable[Unit_Price],WAASIU,0,1)</f>
        <v>6359.3</v>
      </c>
      <c r="H951" cm="1">
        <f t="array" ref="H951">SALESTABLE[[#This Row],[Quantity]]*_xlfn.XLOOKUP(SALESTABLE[[#This Row],[Product_ID]],ProductsTable[Product_ID],ProductsTable[Cost_Price],WAASIU,0,1)</f>
        <v>4740.88</v>
      </c>
      <c r="I951">
        <f>SALESTABLE[[#This Row],[Revenue]]-SALESTABLE[[#This Row],[COST]]</f>
        <v>1618.42</v>
      </c>
      <c r="J951">
        <f>SALESTABLE[[#This Row],[PROFIT]]/SALESTABLE[[#This Row],[Revenue]]*100</f>
        <v>25.449656408724231</v>
      </c>
    </row>
    <row r="952" spans="1:10" x14ac:dyDescent="0.35">
      <c r="A952" t="s">
        <v>1086</v>
      </c>
      <c r="B952" s="4">
        <v>45313</v>
      </c>
      <c r="C952" t="s">
        <v>30</v>
      </c>
      <c r="D952" t="s">
        <v>107</v>
      </c>
      <c r="E952">
        <v>14</v>
      </c>
      <c r="F952">
        <v>10</v>
      </c>
      <c r="G952" cm="1">
        <f t="array" ref="G952">SALESTABLE[[#This Row],[Quantity]]*_xlfn.XLOOKUP(SALESTABLE[[#This Row],[Product_ID]],ProductsTable[Product_ID],ProductsTable[Unit_Price],WAASIU,0,1)</f>
        <v>910.1400000000001</v>
      </c>
      <c r="H952" cm="1">
        <f t="array" ref="H952">SALESTABLE[[#This Row],[Quantity]]*_xlfn.XLOOKUP(SALESTABLE[[#This Row],[Product_ID]],ProductsTable[Product_ID],ProductsTable[Cost_Price],WAASIU,0,1)</f>
        <v>515.62</v>
      </c>
      <c r="I952">
        <f>SALESTABLE[[#This Row],[Revenue]]-SALESTABLE[[#This Row],[COST]]</f>
        <v>394.5200000000001</v>
      </c>
      <c r="J952">
        <f>SALESTABLE[[#This Row],[PROFIT]]/SALESTABLE[[#This Row],[Revenue]]*100</f>
        <v>43.347177357329649</v>
      </c>
    </row>
    <row r="953" spans="1:10" x14ac:dyDescent="0.35">
      <c r="A953" t="s">
        <v>1087</v>
      </c>
      <c r="B953" s="4">
        <v>45397</v>
      </c>
      <c r="C953" t="s">
        <v>83</v>
      </c>
      <c r="D953" t="s">
        <v>19</v>
      </c>
      <c r="E953">
        <v>14</v>
      </c>
      <c r="F953">
        <v>15</v>
      </c>
      <c r="G953" cm="1">
        <f t="array" ref="G953">SALESTABLE[[#This Row],[Quantity]]*_xlfn.XLOOKUP(SALESTABLE[[#This Row],[Product_ID]],ProductsTable[Product_ID],ProductsTable[Unit_Price],WAASIU,0,1)</f>
        <v>850.64</v>
      </c>
      <c r="H953" cm="1">
        <f t="array" ref="H953">SALESTABLE[[#This Row],[Quantity]]*_xlfn.XLOOKUP(SALESTABLE[[#This Row],[Product_ID]],ProductsTable[Product_ID],ProductsTable[Cost_Price],WAASIU,0,1)</f>
        <v>566.30000000000007</v>
      </c>
      <c r="I953">
        <f>SALESTABLE[[#This Row],[Revenue]]-SALESTABLE[[#This Row],[COST]]</f>
        <v>284.33999999999992</v>
      </c>
      <c r="J953">
        <f>SALESTABLE[[#This Row],[PROFIT]]/SALESTABLE[[#This Row],[Revenue]]*100</f>
        <v>33.426596445029617</v>
      </c>
    </row>
    <row r="954" spans="1:10" x14ac:dyDescent="0.35">
      <c r="A954" t="s">
        <v>1088</v>
      </c>
      <c r="B954" s="4">
        <v>45144</v>
      </c>
      <c r="C954" t="s">
        <v>602</v>
      </c>
      <c r="D954" t="s">
        <v>49</v>
      </c>
      <c r="E954">
        <v>10</v>
      </c>
      <c r="F954">
        <v>20</v>
      </c>
      <c r="G954" cm="1">
        <f t="array" ref="G954">SALESTABLE[[#This Row],[Quantity]]*_xlfn.XLOOKUP(SALESTABLE[[#This Row],[Product_ID]],ProductsTable[Product_ID],ProductsTable[Unit_Price],WAASIU,0,1)</f>
        <v>2296.3000000000002</v>
      </c>
      <c r="H954" cm="1">
        <f t="array" ref="H954">SALESTABLE[[#This Row],[Quantity]]*_xlfn.XLOOKUP(SALESTABLE[[#This Row],[Product_ID]],ProductsTable[Product_ID],ProductsTable[Cost_Price],WAASIU,0,1)</f>
        <v>1314.1999999999998</v>
      </c>
      <c r="I954">
        <f>SALESTABLE[[#This Row],[Revenue]]-SALESTABLE[[#This Row],[COST]]</f>
        <v>982.10000000000036</v>
      </c>
      <c r="J954">
        <f>SALESTABLE[[#This Row],[PROFIT]]/SALESTABLE[[#This Row],[Revenue]]*100</f>
        <v>42.768801985803265</v>
      </c>
    </row>
    <row r="955" spans="1:10" x14ac:dyDescent="0.35">
      <c r="A955" t="s">
        <v>1089</v>
      </c>
      <c r="B955" s="4">
        <v>45012</v>
      </c>
      <c r="C955" t="s">
        <v>245</v>
      </c>
      <c r="D955" t="s">
        <v>125</v>
      </c>
      <c r="E955">
        <v>12</v>
      </c>
      <c r="F955">
        <v>5</v>
      </c>
      <c r="G955" cm="1">
        <f t="array" ref="G955">SALESTABLE[[#This Row],[Quantity]]*_xlfn.XLOOKUP(SALESTABLE[[#This Row],[Product_ID]],ProductsTable[Product_ID],ProductsTable[Unit_Price],WAASIU,0,1)</f>
        <v>4016.3999999999996</v>
      </c>
      <c r="H955" cm="1">
        <f t="array" ref="H955">SALESTABLE[[#This Row],[Quantity]]*_xlfn.XLOOKUP(SALESTABLE[[#This Row],[Product_ID]],ProductsTable[Product_ID],ProductsTable[Cost_Price],WAASIU,0,1)</f>
        <v>2994.2400000000002</v>
      </c>
      <c r="I955">
        <f>SALESTABLE[[#This Row],[Revenue]]-SALESTABLE[[#This Row],[COST]]</f>
        <v>1022.1599999999994</v>
      </c>
      <c r="J955">
        <f>SALESTABLE[[#This Row],[PROFIT]]/SALESTABLE[[#This Row],[Revenue]]*100</f>
        <v>25.44965640872422</v>
      </c>
    </row>
    <row r="956" spans="1:10" x14ac:dyDescent="0.35">
      <c r="A956" t="s">
        <v>1090</v>
      </c>
      <c r="B956" s="4">
        <v>45236</v>
      </c>
      <c r="C956" t="s">
        <v>159</v>
      </c>
      <c r="D956" t="s">
        <v>107</v>
      </c>
      <c r="E956">
        <v>14</v>
      </c>
      <c r="F956">
        <v>20</v>
      </c>
      <c r="G956" cm="1">
        <f t="array" ref="G956">SALESTABLE[[#This Row],[Quantity]]*_xlfn.XLOOKUP(SALESTABLE[[#This Row],[Product_ID]],ProductsTable[Product_ID],ProductsTable[Unit_Price],WAASIU,0,1)</f>
        <v>910.1400000000001</v>
      </c>
      <c r="H956" cm="1">
        <f t="array" ref="H956">SALESTABLE[[#This Row],[Quantity]]*_xlfn.XLOOKUP(SALESTABLE[[#This Row],[Product_ID]],ProductsTable[Product_ID],ProductsTable[Cost_Price],WAASIU,0,1)</f>
        <v>515.62</v>
      </c>
      <c r="I956">
        <f>SALESTABLE[[#This Row],[Revenue]]-SALESTABLE[[#This Row],[COST]]</f>
        <v>394.5200000000001</v>
      </c>
      <c r="J956">
        <f>SALESTABLE[[#This Row],[PROFIT]]/SALESTABLE[[#This Row],[Revenue]]*100</f>
        <v>43.347177357329649</v>
      </c>
    </row>
    <row r="957" spans="1:10" x14ac:dyDescent="0.35">
      <c r="A957" t="s">
        <v>1091</v>
      </c>
      <c r="B957" s="4">
        <v>45342</v>
      </c>
      <c r="C957" t="s">
        <v>270</v>
      </c>
      <c r="D957" t="s">
        <v>137</v>
      </c>
      <c r="E957">
        <v>15</v>
      </c>
      <c r="F957">
        <v>15</v>
      </c>
      <c r="G957" cm="1">
        <f t="array" ref="G957">SALESTABLE[[#This Row],[Quantity]]*_xlfn.XLOOKUP(SALESTABLE[[#This Row],[Product_ID]],ProductsTable[Product_ID],ProductsTable[Unit_Price],WAASIU,0,1)</f>
        <v>5451.6</v>
      </c>
      <c r="H957" cm="1">
        <f t="array" ref="H957">SALESTABLE[[#This Row],[Quantity]]*_xlfn.XLOOKUP(SALESTABLE[[#This Row],[Product_ID]],ProductsTable[Product_ID],ProductsTable[Cost_Price],WAASIU,0,1)</f>
        <v>3750.75</v>
      </c>
      <c r="I957">
        <f>SALESTABLE[[#This Row],[Revenue]]-SALESTABLE[[#This Row],[COST]]</f>
        <v>1700.8500000000004</v>
      </c>
      <c r="J957">
        <f>SALESTABLE[[#This Row],[PROFIT]]/SALESTABLE[[#This Row],[Revenue]]*100</f>
        <v>31.199097512656838</v>
      </c>
    </row>
    <row r="958" spans="1:10" x14ac:dyDescent="0.35">
      <c r="A958" t="s">
        <v>1092</v>
      </c>
      <c r="B958" s="4">
        <v>45063</v>
      </c>
      <c r="C958" t="s">
        <v>181</v>
      </c>
      <c r="D958" t="s">
        <v>110</v>
      </c>
      <c r="E958">
        <v>13</v>
      </c>
      <c r="F958">
        <v>15</v>
      </c>
      <c r="G958" cm="1">
        <f t="array" ref="G958">SALESTABLE[[#This Row],[Quantity]]*_xlfn.XLOOKUP(SALESTABLE[[#This Row],[Product_ID]],ProductsTable[Product_ID],ProductsTable[Unit_Price],WAASIU,0,1)</f>
        <v>6387.16</v>
      </c>
      <c r="H958" cm="1">
        <f t="array" ref="H958">SALESTABLE[[#This Row],[Quantity]]*_xlfn.XLOOKUP(SALESTABLE[[#This Row],[Product_ID]],ProductsTable[Product_ID],ProductsTable[Cost_Price],WAASIU,0,1)</f>
        <v>3485.4300000000003</v>
      </c>
      <c r="I958">
        <f>SALESTABLE[[#This Row],[Revenue]]-SALESTABLE[[#This Row],[COST]]</f>
        <v>2901.7299999999996</v>
      </c>
      <c r="J958">
        <f>SALESTABLE[[#This Row],[PROFIT]]/SALESTABLE[[#This Row],[Revenue]]*100</f>
        <v>45.430676544818034</v>
      </c>
    </row>
    <row r="959" spans="1:10" x14ac:dyDescent="0.35">
      <c r="A959" t="s">
        <v>1093</v>
      </c>
      <c r="B959" s="4">
        <v>45529</v>
      </c>
      <c r="C959" t="s">
        <v>237</v>
      </c>
      <c r="D959" t="s">
        <v>100</v>
      </c>
      <c r="E959">
        <v>1</v>
      </c>
      <c r="F959">
        <v>10</v>
      </c>
      <c r="G959" cm="1">
        <f t="array" ref="G959">SALESTABLE[[#This Row],[Quantity]]*_xlfn.XLOOKUP(SALESTABLE[[#This Row],[Product_ID]],ProductsTable[Product_ID],ProductsTable[Unit_Price],WAASIU,0,1)</f>
        <v>409.32</v>
      </c>
      <c r="H959" cm="1">
        <f t="array" ref="H959">SALESTABLE[[#This Row],[Quantity]]*_xlfn.XLOOKUP(SALESTABLE[[#This Row],[Product_ID]],ProductsTable[Product_ID],ProductsTable[Cost_Price],WAASIU,0,1)</f>
        <v>212.65</v>
      </c>
      <c r="I959">
        <f>SALESTABLE[[#This Row],[Revenue]]-SALESTABLE[[#This Row],[COST]]</f>
        <v>196.67</v>
      </c>
      <c r="J959">
        <f>SALESTABLE[[#This Row],[PROFIT]]/SALESTABLE[[#This Row],[Revenue]]*100</f>
        <v>48.047982018958265</v>
      </c>
    </row>
    <row r="960" spans="1:10" x14ac:dyDescent="0.35">
      <c r="A960" t="s">
        <v>1094</v>
      </c>
      <c r="B960" s="4">
        <v>45333</v>
      </c>
      <c r="C960" t="s">
        <v>190</v>
      </c>
      <c r="D960" t="s">
        <v>28</v>
      </c>
      <c r="E960">
        <v>7</v>
      </c>
      <c r="F960">
        <v>20</v>
      </c>
      <c r="G960" cm="1">
        <f t="array" ref="G960">SALESTABLE[[#This Row],[Quantity]]*_xlfn.XLOOKUP(SALESTABLE[[#This Row],[Product_ID]],ProductsTable[Product_ID],ProductsTable[Unit_Price],WAASIU,0,1)</f>
        <v>2978.36</v>
      </c>
      <c r="H960" cm="1">
        <f t="array" ref="H960">SALESTABLE[[#This Row],[Quantity]]*_xlfn.XLOOKUP(SALESTABLE[[#This Row],[Product_ID]],ProductsTable[Product_ID],ProductsTable[Cost_Price],WAASIU,0,1)</f>
        <v>1634.36</v>
      </c>
      <c r="I960">
        <f>SALESTABLE[[#This Row],[Revenue]]-SALESTABLE[[#This Row],[COST]]</f>
        <v>1344.0000000000002</v>
      </c>
      <c r="J960">
        <f>SALESTABLE[[#This Row],[PROFIT]]/SALESTABLE[[#This Row],[Revenue]]*100</f>
        <v>45.125505311648027</v>
      </c>
    </row>
    <row r="961" spans="1:10" x14ac:dyDescent="0.35">
      <c r="A961" t="s">
        <v>1095</v>
      </c>
      <c r="B961" s="4">
        <v>45607</v>
      </c>
      <c r="C961" t="s">
        <v>112</v>
      </c>
      <c r="D961" t="s">
        <v>8</v>
      </c>
      <c r="E961">
        <v>20</v>
      </c>
      <c r="F961">
        <v>20</v>
      </c>
      <c r="G961" cm="1">
        <f t="array" ref="G961">SALESTABLE[[#This Row],[Quantity]]*_xlfn.XLOOKUP(SALESTABLE[[#This Row],[Product_ID]],ProductsTable[Product_ID],ProductsTable[Unit_Price],WAASIU,0,1)</f>
        <v>6726.4</v>
      </c>
      <c r="H961" cm="1">
        <f t="array" ref="H961">SALESTABLE[[#This Row],[Quantity]]*_xlfn.XLOOKUP(SALESTABLE[[#This Row],[Product_ID]],ProductsTable[Product_ID],ProductsTable[Cost_Price],WAASIU,0,1)</f>
        <v>4555.6000000000004</v>
      </c>
      <c r="I961">
        <f>SALESTABLE[[#This Row],[Revenue]]-SALESTABLE[[#This Row],[COST]]</f>
        <v>2170.7999999999993</v>
      </c>
      <c r="J961">
        <f>SALESTABLE[[#This Row],[PROFIT]]/SALESTABLE[[#This Row],[Revenue]]*100</f>
        <v>32.272835394862028</v>
      </c>
    </row>
    <row r="962" spans="1:10" x14ac:dyDescent="0.35">
      <c r="A962" t="s">
        <v>1096</v>
      </c>
      <c r="B962" s="4">
        <v>45412</v>
      </c>
      <c r="C962" t="s">
        <v>144</v>
      </c>
      <c r="D962" t="s">
        <v>19</v>
      </c>
      <c r="E962">
        <v>1</v>
      </c>
      <c r="F962">
        <v>15</v>
      </c>
      <c r="G962" cm="1">
        <f t="array" ref="G962">SALESTABLE[[#This Row],[Quantity]]*_xlfn.XLOOKUP(SALESTABLE[[#This Row],[Product_ID]],ProductsTable[Product_ID],ProductsTable[Unit_Price],WAASIU,0,1)</f>
        <v>60.76</v>
      </c>
      <c r="H962" cm="1">
        <f t="array" ref="H962">SALESTABLE[[#This Row],[Quantity]]*_xlfn.XLOOKUP(SALESTABLE[[#This Row],[Product_ID]],ProductsTable[Product_ID],ProductsTable[Cost_Price],WAASIU,0,1)</f>
        <v>40.450000000000003</v>
      </c>
      <c r="I962">
        <f>SALESTABLE[[#This Row],[Revenue]]-SALESTABLE[[#This Row],[COST]]</f>
        <v>20.309999999999995</v>
      </c>
      <c r="J962">
        <f>SALESTABLE[[#This Row],[PROFIT]]/SALESTABLE[[#This Row],[Revenue]]*100</f>
        <v>33.426596445029617</v>
      </c>
    </row>
    <row r="963" spans="1:10" x14ac:dyDescent="0.35">
      <c r="A963" t="s">
        <v>1097</v>
      </c>
      <c r="B963" s="4">
        <v>45118</v>
      </c>
      <c r="C963" t="s">
        <v>171</v>
      </c>
      <c r="D963" t="s">
        <v>127</v>
      </c>
      <c r="E963">
        <v>18</v>
      </c>
      <c r="F963">
        <v>5</v>
      </c>
      <c r="G963" cm="1">
        <f t="array" ref="G963">SALESTABLE[[#This Row],[Quantity]]*_xlfn.XLOOKUP(SALESTABLE[[#This Row],[Product_ID]],ProductsTable[Product_ID],ProductsTable[Unit_Price],WAASIU,0,1)</f>
        <v>1657.2599999999998</v>
      </c>
      <c r="H963" cm="1">
        <f t="array" ref="H963">SALESTABLE[[#This Row],[Quantity]]*_xlfn.XLOOKUP(SALESTABLE[[#This Row],[Product_ID]],ProductsTable[Product_ID],ProductsTable[Cost_Price],WAASIU,0,1)</f>
        <v>1014.48</v>
      </c>
      <c r="I963">
        <f>SALESTABLE[[#This Row],[Revenue]]-SALESTABLE[[#This Row],[COST]]</f>
        <v>642.77999999999975</v>
      </c>
      <c r="J963">
        <f>SALESTABLE[[#This Row],[PROFIT]]/SALESTABLE[[#This Row],[Revenue]]*100</f>
        <v>38.785706527641999</v>
      </c>
    </row>
    <row r="964" spans="1:10" x14ac:dyDescent="0.35">
      <c r="A964" t="s">
        <v>1098</v>
      </c>
      <c r="B964" s="4">
        <v>45579</v>
      </c>
      <c r="C964" t="s">
        <v>167</v>
      </c>
      <c r="D964" t="s">
        <v>49</v>
      </c>
      <c r="E964">
        <v>18</v>
      </c>
      <c r="F964">
        <v>20</v>
      </c>
      <c r="G964" cm="1">
        <f t="array" ref="G964">SALESTABLE[[#This Row],[Quantity]]*_xlfn.XLOOKUP(SALESTABLE[[#This Row],[Product_ID]],ProductsTable[Product_ID],ProductsTable[Unit_Price],WAASIU,0,1)</f>
        <v>4133.34</v>
      </c>
      <c r="H964" cm="1">
        <f t="array" ref="H964">SALESTABLE[[#This Row],[Quantity]]*_xlfn.XLOOKUP(SALESTABLE[[#This Row],[Product_ID]],ProductsTable[Product_ID],ProductsTable[Cost_Price],WAASIU,0,1)</f>
        <v>2365.56</v>
      </c>
      <c r="I964">
        <f>SALESTABLE[[#This Row],[Revenue]]-SALESTABLE[[#This Row],[COST]]</f>
        <v>1767.7800000000002</v>
      </c>
      <c r="J964">
        <f>SALESTABLE[[#This Row],[PROFIT]]/SALESTABLE[[#This Row],[Revenue]]*100</f>
        <v>42.76880198580325</v>
      </c>
    </row>
    <row r="965" spans="1:10" x14ac:dyDescent="0.35">
      <c r="A965" t="s">
        <v>1099</v>
      </c>
      <c r="B965" s="4">
        <v>44967</v>
      </c>
      <c r="C965" t="s">
        <v>79</v>
      </c>
      <c r="D965" t="s">
        <v>125</v>
      </c>
      <c r="E965">
        <v>7</v>
      </c>
      <c r="F965">
        <v>10</v>
      </c>
      <c r="G965" cm="1">
        <f t="array" ref="G965">SALESTABLE[[#This Row],[Quantity]]*_xlfn.XLOOKUP(SALESTABLE[[#This Row],[Product_ID]],ProductsTable[Product_ID],ProductsTable[Unit_Price],WAASIU,0,1)</f>
        <v>2342.9</v>
      </c>
      <c r="H965" cm="1">
        <f t="array" ref="H965">SALESTABLE[[#This Row],[Quantity]]*_xlfn.XLOOKUP(SALESTABLE[[#This Row],[Product_ID]],ProductsTable[Product_ID],ProductsTable[Cost_Price],WAASIU,0,1)</f>
        <v>1746.64</v>
      </c>
      <c r="I965">
        <f>SALESTABLE[[#This Row],[Revenue]]-SALESTABLE[[#This Row],[COST]]</f>
        <v>596.26</v>
      </c>
      <c r="J965">
        <f>SALESTABLE[[#This Row],[PROFIT]]/SALESTABLE[[#This Row],[Revenue]]*100</f>
        <v>25.449656408724231</v>
      </c>
    </row>
    <row r="966" spans="1:10" x14ac:dyDescent="0.35">
      <c r="A966" t="s">
        <v>1100</v>
      </c>
      <c r="B966" s="4">
        <v>45177</v>
      </c>
      <c r="C966" t="s">
        <v>79</v>
      </c>
      <c r="D966" t="s">
        <v>125</v>
      </c>
      <c r="E966">
        <v>9</v>
      </c>
      <c r="F966">
        <v>10</v>
      </c>
      <c r="G966" cm="1">
        <f t="array" ref="G966">SALESTABLE[[#This Row],[Quantity]]*_xlfn.XLOOKUP(SALESTABLE[[#This Row],[Product_ID]],ProductsTable[Product_ID],ProductsTable[Unit_Price],WAASIU,0,1)</f>
        <v>3012.2999999999997</v>
      </c>
      <c r="H966" cm="1">
        <f t="array" ref="H966">SALESTABLE[[#This Row],[Quantity]]*_xlfn.XLOOKUP(SALESTABLE[[#This Row],[Product_ID]],ProductsTable[Product_ID],ProductsTable[Cost_Price],WAASIU,0,1)</f>
        <v>2245.6800000000003</v>
      </c>
      <c r="I966">
        <f>SALESTABLE[[#This Row],[Revenue]]-SALESTABLE[[#This Row],[COST]]</f>
        <v>766.61999999999944</v>
      </c>
      <c r="J966">
        <f>SALESTABLE[[#This Row],[PROFIT]]/SALESTABLE[[#This Row],[Revenue]]*100</f>
        <v>25.449656408724213</v>
      </c>
    </row>
    <row r="967" spans="1:10" x14ac:dyDescent="0.35">
      <c r="A967" t="s">
        <v>1101</v>
      </c>
      <c r="B967" s="4">
        <v>45068</v>
      </c>
      <c r="C967" t="s">
        <v>348</v>
      </c>
      <c r="D967" t="s">
        <v>41</v>
      </c>
      <c r="E967">
        <v>7</v>
      </c>
      <c r="F967">
        <v>10</v>
      </c>
      <c r="G967" cm="1">
        <f t="array" ref="G967">SALESTABLE[[#This Row],[Quantity]]*_xlfn.XLOOKUP(SALESTABLE[[#This Row],[Product_ID]],ProductsTable[Product_ID],ProductsTable[Unit_Price],WAASIU,0,1)</f>
        <v>2980.25</v>
      </c>
      <c r="H967" cm="1">
        <f t="array" ref="H967">SALESTABLE[[#This Row],[Quantity]]*_xlfn.XLOOKUP(SALESTABLE[[#This Row],[Product_ID]],ProductsTable[Product_ID],ProductsTable[Cost_Price],WAASIU,0,1)</f>
        <v>1701.9099999999999</v>
      </c>
      <c r="I967">
        <f>SALESTABLE[[#This Row],[Revenue]]-SALESTABLE[[#This Row],[COST]]</f>
        <v>1278.3400000000001</v>
      </c>
      <c r="J967">
        <f>SALESTABLE[[#This Row],[PROFIT]]/SALESTABLE[[#This Row],[Revenue]]*100</f>
        <v>42.89371697005285</v>
      </c>
    </row>
    <row r="968" spans="1:10" x14ac:dyDescent="0.35">
      <c r="A968" t="s">
        <v>1102</v>
      </c>
      <c r="B968" s="4">
        <v>45342</v>
      </c>
      <c r="C968" t="s">
        <v>190</v>
      </c>
      <c r="D968" t="s">
        <v>125</v>
      </c>
      <c r="E968">
        <v>16</v>
      </c>
      <c r="F968">
        <v>10</v>
      </c>
      <c r="G968" cm="1">
        <f t="array" ref="G968">SALESTABLE[[#This Row],[Quantity]]*_xlfn.XLOOKUP(SALESTABLE[[#This Row],[Product_ID]],ProductsTable[Product_ID],ProductsTable[Unit_Price],WAASIU,0,1)</f>
        <v>5355.2</v>
      </c>
      <c r="H968" cm="1">
        <f t="array" ref="H968">SALESTABLE[[#This Row],[Quantity]]*_xlfn.XLOOKUP(SALESTABLE[[#This Row],[Product_ID]],ProductsTable[Product_ID],ProductsTable[Cost_Price],WAASIU,0,1)</f>
        <v>3992.32</v>
      </c>
      <c r="I968">
        <f>SALESTABLE[[#This Row],[Revenue]]-SALESTABLE[[#This Row],[COST]]</f>
        <v>1362.8799999999997</v>
      </c>
      <c r="J968">
        <f>SALESTABLE[[#This Row],[PROFIT]]/SALESTABLE[[#This Row],[Revenue]]*100</f>
        <v>25.449656408724223</v>
      </c>
    </row>
    <row r="969" spans="1:10" x14ac:dyDescent="0.35">
      <c r="A969" t="s">
        <v>1103</v>
      </c>
      <c r="B969" s="4">
        <v>44975</v>
      </c>
      <c r="C969" t="s">
        <v>306</v>
      </c>
      <c r="D969" t="s">
        <v>52</v>
      </c>
      <c r="E969">
        <v>14</v>
      </c>
      <c r="F969">
        <v>20</v>
      </c>
      <c r="G969" cm="1">
        <f t="array" ref="G969">SALESTABLE[[#This Row],[Quantity]]*_xlfn.XLOOKUP(SALESTABLE[[#This Row],[Product_ID]],ProductsTable[Product_ID],ProductsTable[Unit_Price],WAASIU,0,1)</f>
        <v>2572.92</v>
      </c>
      <c r="H969" cm="1">
        <f t="array" ref="H969">SALESTABLE[[#This Row],[Quantity]]*_xlfn.XLOOKUP(SALESTABLE[[#This Row],[Product_ID]],ProductsTable[Product_ID],ProductsTable[Cost_Price],WAASIU,0,1)</f>
        <v>1618.82</v>
      </c>
      <c r="I969">
        <f>SALESTABLE[[#This Row],[Revenue]]-SALESTABLE[[#This Row],[COST]]</f>
        <v>954.10000000000014</v>
      </c>
      <c r="J969">
        <f>SALESTABLE[[#This Row],[PROFIT]]/SALESTABLE[[#This Row],[Revenue]]*100</f>
        <v>37.082381107846338</v>
      </c>
    </row>
    <row r="970" spans="1:10" x14ac:dyDescent="0.35">
      <c r="A970" t="s">
        <v>1104</v>
      </c>
      <c r="B970" s="4">
        <v>45610</v>
      </c>
      <c r="C970" t="s">
        <v>245</v>
      </c>
      <c r="D970" t="s">
        <v>8</v>
      </c>
      <c r="E970">
        <v>2</v>
      </c>
      <c r="F970">
        <v>0</v>
      </c>
      <c r="G970" cm="1">
        <f t="array" ref="G970">SALESTABLE[[#This Row],[Quantity]]*_xlfn.XLOOKUP(SALESTABLE[[#This Row],[Product_ID]],ProductsTable[Product_ID],ProductsTable[Unit_Price],WAASIU,0,1)</f>
        <v>672.64</v>
      </c>
      <c r="H970" cm="1">
        <f t="array" ref="H970">SALESTABLE[[#This Row],[Quantity]]*_xlfn.XLOOKUP(SALESTABLE[[#This Row],[Product_ID]],ProductsTable[Product_ID],ProductsTable[Cost_Price],WAASIU,0,1)</f>
        <v>455.56</v>
      </c>
      <c r="I970">
        <f>SALESTABLE[[#This Row],[Revenue]]-SALESTABLE[[#This Row],[COST]]</f>
        <v>217.07999999999998</v>
      </c>
      <c r="J970">
        <f>SALESTABLE[[#This Row],[PROFIT]]/SALESTABLE[[#This Row],[Revenue]]*100</f>
        <v>32.272835394862028</v>
      </c>
    </row>
    <row r="971" spans="1:10" x14ac:dyDescent="0.35">
      <c r="A971" t="s">
        <v>1105</v>
      </c>
      <c r="B971" s="4">
        <v>45592</v>
      </c>
      <c r="C971" t="s">
        <v>171</v>
      </c>
      <c r="D971" t="s">
        <v>107</v>
      </c>
      <c r="E971">
        <v>12</v>
      </c>
      <c r="F971">
        <v>0</v>
      </c>
      <c r="G971" cm="1">
        <f t="array" ref="G971">SALESTABLE[[#This Row],[Quantity]]*_xlfn.XLOOKUP(SALESTABLE[[#This Row],[Product_ID]],ProductsTable[Product_ID],ProductsTable[Unit_Price],WAASIU,0,1)</f>
        <v>780.12000000000012</v>
      </c>
      <c r="H971" cm="1">
        <f t="array" ref="H971">SALESTABLE[[#This Row],[Quantity]]*_xlfn.XLOOKUP(SALESTABLE[[#This Row],[Product_ID]],ProductsTable[Product_ID],ProductsTable[Cost_Price],WAASIU,0,1)</f>
        <v>441.96</v>
      </c>
      <c r="I971">
        <f>SALESTABLE[[#This Row],[Revenue]]-SALESTABLE[[#This Row],[COST]]</f>
        <v>338.16000000000014</v>
      </c>
      <c r="J971">
        <f>SALESTABLE[[#This Row],[PROFIT]]/SALESTABLE[[#This Row],[Revenue]]*100</f>
        <v>43.347177357329656</v>
      </c>
    </row>
    <row r="972" spans="1:10" x14ac:dyDescent="0.35">
      <c r="A972" t="s">
        <v>1106</v>
      </c>
      <c r="B972" s="4">
        <v>44993</v>
      </c>
      <c r="C972" t="s">
        <v>167</v>
      </c>
      <c r="D972" t="s">
        <v>74</v>
      </c>
      <c r="E972">
        <v>3</v>
      </c>
      <c r="F972">
        <v>15</v>
      </c>
      <c r="G972" cm="1">
        <f t="array" ref="G972">SALESTABLE[[#This Row],[Quantity]]*_xlfn.XLOOKUP(SALESTABLE[[#This Row],[Product_ID]],ProductsTable[Product_ID],ProductsTable[Unit_Price],WAASIU,0,1)</f>
        <v>129</v>
      </c>
      <c r="H972" cm="1">
        <f t="array" ref="H972">SALESTABLE[[#This Row],[Quantity]]*_xlfn.XLOOKUP(SALESTABLE[[#This Row],[Product_ID]],ProductsTable[Product_ID],ProductsTable[Cost_Price],WAASIU,0,1)</f>
        <v>90.15</v>
      </c>
      <c r="I972">
        <f>SALESTABLE[[#This Row],[Revenue]]-SALESTABLE[[#This Row],[COST]]</f>
        <v>38.849999999999994</v>
      </c>
      <c r="J972">
        <f>SALESTABLE[[#This Row],[PROFIT]]/SALESTABLE[[#This Row],[Revenue]]*100</f>
        <v>30.116279069767437</v>
      </c>
    </row>
    <row r="973" spans="1:10" x14ac:dyDescent="0.35">
      <c r="A973" t="s">
        <v>1107</v>
      </c>
      <c r="B973" s="4">
        <v>45076</v>
      </c>
      <c r="C973" t="s">
        <v>24</v>
      </c>
      <c r="D973" t="s">
        <v>84</v>
      </c>
      <c r="E973">
        <v>14</v>
      </c>
      <c r="F973">
        <v>0</v>
      </c>
      <c r="G973" cm="1">
        <f t="array" ref="G973">SALESTABLE[[#This Row],[Quantity]]*_xlfn.XLOOKUP(SALESTABLE[[#This Row],[Product_ID]],ProductsTable[Product_ID],ProductsTable[Unit_Price],WAASIU,0,1)</f>
        <v>3764.5999999999995</v>
      </c>
      <c r="H973" cm="1">
        <f t="array" ref="H973">SALESTABLE[[#This Row],[Quantity]]*_xlfn.XLOOKUP(SALESTABLE[[#This Row],[Product_ID]],ProductsTable[Product_ID],ProductsTable[Cost_Price],WAASIU,0,1)</f>
        <v>2182.04</v>
      </c>
      <c r="I973">
        <f>SALESTABLE[[#This Row],[Revenue]]-SALESTABLE[[#This Row],[COST]]</f>
        <v>1582.5599999999995</v>
      </c>
      <c r="J973">
        <f>SALESTABLE[[#This Row],[PROFIT]]/SALESTABLE[[#This Row],[Revenue]]*100</f>
        <v>42.037932316846408</v>
      </c>
    </row>
    <row r="974" spans="1:10" x14ac:dyDescent="0.35">
      <c r="A974" t="s">
        <v>1108</v>
      </c>
      <c r="B974" s="4">
        <v>45445</v>
      </c>
      <c r="C974" t="s">
        <v>27</v>
      </c>
      <c r="D974" t="s">
        <v>13</v>
      </c>
      <c r="E974">
        <v>17</v>
      </c>
      <c r="F974">
        <v>10</v>
      </c>
      <c r="G974" cm="1">
        <f t="array" ref="G974">SALESTABLE[[#This Row],[Quantity]]*_xlfn.XLOOKUP(SALESTABLE[[#This Row],[Product_ID]],ProductsTable[Product_ID],ProductsTable[Unit_Price],WAASIU,0,1)</f>
        <v>7398.06</v>
      </c>
      <c r="H974" cm="1">
        <f t="array" ref="H974">SALESTABLE[[#This Row],[Quantity]]*_xlfn.XLOOKUP(SALESTABLE[[#This Row],[Product_ID]],ProductsTable[Product_ID],ProductsTable[Cost_Price],WAASIU,0,1)</f>
        <v>3926.1499999999996</v>
      </c>
      <c r="I974">
        <f>SALESTABLE[[#This Row],[Revenue]]-SALESTABLE[[#This Row],[COST]]</f>
        <v>3471.9100000000008</v>
      </c>
      <c r="J974">
        <f>SALESTABLE[[#This Row],[PROFIT]]/SALESTABLE[[#This Row],[Revenue]]*100</f>
        <v>46.930005974539277</v>
      </c>
    </row>
    <row r="975" spans="1:10" x14ac:dyDescent="0.35">
      <c r="A975" t="s">
        <v>1109</v>
      </c>
      <c r="B975" s="4">
        <v>45629</v>
      </c>
      <c r="C975" t="s">
        <v>223</v>
      </c>
      <c r="D975" t="s">
        <v>28</v>
      </c>
      <c r="E975">
        <v>11</v>
      </c>
      <c r="F975">
        <v>10</v>
      </c>
      <c r="G975" cm="1">
        <f t="array" ref="G975">SALESTABLE[[#This Row],[Quantity]]*_xlfn.XLOOKUP(SALESTABLE[[#This Row],[Product_ID]],ProductsTable[Product_ID],ProductsTable[Unit_Price],WAASIU,0,1)</f>
        <v>4680.2800000000007</v>
      </c>
      <c r="H975" cm="1">
        <f t="array" ref="H975">SALESTABLE[[#This Row],[Quantity]]*_xlfn.XLOOKUP(SALESTABLE[[#This Row],[Product_ID]],ProductsTable[Product_ID],ProductsTable[Cost_Price],WAASIU,0,1)</f>
        <v>2568.2799999999997</v>
      </c>
      <c r="I975">
        <f>SALESTABLE[[#This Row],[Revenue]]-SALESTABLE[[#This Row],[COST]]</f>
        <v>2112.0000000000009</v>
      </c>
      <c r="J975">
        <f>SALESTABLE[[#This Row],[PROFIT]]/SALESTABLE[[#This Row],[Revenue]]*100</f>
        <v>45.125505311648034</v>
      </c>
    </row>
    <row r="976" spans="1:10" x14ac:dyDescent="0.35">
      <c r="A976" t="s">
        <v>1110</v>
      </c>
      <c r="B976" s="4">
        <v>45269</v>
      </c>
      <c r="C976" t="s">
        <v>54</v>
      </c>
      <c r="D976" t="s">
        <v>100</v>
      </c>
      <c r="E976">
        <v>10</v>
      </c>
      <c r="F976">
        <v>5</v>
      </c>
      <c r="G976" cm="1">
        <f t="array" ref="G976">SALESTABLE[[#This Row],[Quantity]]*_xlfn.XLOOKUP(SALESTABLE[[#This Row],[Product_ID]],ProductsTable[Product_ID],ProductsTable[Unit_Price],WAASIU,0,1)</f>
        <v>4093.2</v>
      </c>
      <c r="H976" cm="1">
        <f t="array" ref="H976">SALESTABLE[[#This Row],[Quantity]]*_xlfn.XLOOKUP(SALESTABLE[[#This Row],[Product_ID]],ProductsTable[Product_ID],ProductsTable[Cost_Price],WAASIU,0,1)</f>
        <v>2126.5</v>
      </c>
      <c r="I976">
        <f>SALESTABLE[[#This Row],[Revenue]]-SALESTABLE[[#This Row],[COST]]</f>
        <v>1966.6999999999998</v>
      </c>
      <c r="J976">
        <f>SALESTABLE[[#This Row],[PROFIT]]/SALESTABLE[[#This Row],[Revenue]]*100</f>
        <v>48.047982018958265</v>
      </c>
    </row>
    <row r="977" spans="1:10" x14ac:dyDescent="0.35">
      <c r="A977" t="s">
        <v>1111</v>
      </c>
      <c r="B977" s="4">
        <v>45445</v>
      </c>
      <c r="C977" t="s">
        <v>129</v>
      </c>
      <c r="D977" t="s">
        <v>8</v>
      </c>
      <c r="E977">
        <v>2</v>
      </c>
      <c r="F977">
        <v>10</v>
      </c>
      <c r="G977" cm="1">
        <f t="array" ref="G977">SALESTABLE[[#This Row],[Quantity]]*_xlfn.XLOOKUP(SALESTABLE[[#This Row],[Product_ID]],ProductsTable[Product_ID],ProductsTable[Unit_Price],WAASIU,0,1)</f>
        <v>672.64</v>
      </c>
      <c r="H977" cm="1">
        <f t="array" ref="H977">SALESTABLE[[#This Row],[Quantity]]*_xlfn.XLOOKUP(SALESTABLE[[#This Row],[Product_ID]],ProductsTable[Product_ID],ProductsTable[Cost_Price],WAASIU,0,1)</f>
        <v>455.56</v>
      </c>
      <c r="I977">
        <f>SALESTABLE[[#This Row],[Revenue]]-SALESTABLE[[#This Row],[COST]]</f>
        <v>217.07999999999998</v>
      </c>
      <c r="J977">
        <f>SALESTABLE[[#This Row],[PROFIT]]/SALESTABLE[[#This Row],[Revenue]]*100</f>
        <v>32.272835394862028</v>
      </c>
    </row>
    <row r="978" spans="1:10" x14ac:dyDescent="0.35">
      <c r="A978" t="s">
        <v>1112</v>
      </c>
      <c r="B978" s="4">
        <v>45237</v>
      </c>
      <c r="C978" t="s">
        <v>209</v>
      </c>
      <c r="D978" t="s">
        <v>34</v>
      </c>
      <c r="E978">
        <v>16</v>
      </c>
      <c r="F978">
        <v>10</v>
      </c>
      <c r="G978" cm="1">
        <f t="array" ref="G978">SALESTABLE[[#This Row],[Quantity]]*_xlfn.XLOOKUP(SALESTABLE[[#This Row],[Product_ID]],ProductsTable[Product_ID],ProductsTable[Unit_Price],WAASIU,0,1)</f>
        <v>5260</v>
      </c>
      <c r="H978" cm="1">
        <f t="array" ref="H978">SALESTABLE[[#This Row],[Quantity]]*_xlfn.XLOOKUP(SALESTABLE[[#This Row],[Product_ID]],ProductsTable[Product_ID],ProductsTable[Cost_Price],WAASIU,0,1)</f>
        <v>3730.88</v>
      </c>
      <c r="I978">
        <f>SALESTABLE[[#This Row],[Revenue]]-SALESTABLE[[#This Row],[COST]]</f>
        <v>1529.12</v>
      </c>
      <c r="J978">
        <f>SALESTABLE[[#This Row],[PROFIT]]/SALESTABLE[[#This Row],[Revenue]]*100</f>
        <v>29.070722433460073</v>
      </c>
    </row>
    <row r="979" spans="1:10" x14ac:dyDescent="0.35">
      <c r="A979" t="s">
        <v>1113</v>
      </c>
      <c r="B979" s="4">
        <v>45098</v>
      </c>
      <c r="C979" t="s">
        <v>116</v>
      </c>
      <c r="D979" t="s">
        <v>34</v>
      </c>
      <c r="E979">
        <v>4</v>
      </c>
      <c r="F979">
        <v>5</v>
      </c>
      <c r="G979" cm="1">
        <f t="array" ref="G979">SALESTABLE[[#This Row],[Quantity]]*_xlfn.XLOOKUP(SALESTABLE[[#This Row],[Product_ID]],ProductsTable[Product_ID],ProductsTable[Unit_Price],WAASIU,0,1)</f>
        <v>1315</v>
      </c>
      <c r="H979" cm="1">
        <f t="array" ref="H979">SALESTABLE[[#This Row],[Quantity]]*_xlfn.XLOOKUP(SALESTABLE[[#This Row],[Product_ID]],ProductsTable[Product_ID],ProductsTable[Cost_Price],WAASIU,0,1)</f>
        <v>932.72</v>
      </c>
      <c r="I979">
        <f>SALESTABLE[[#This Row],[Revenue]]-SALESTABLE[[#This Row],[COST]]</f>
        <v>382.28</v>
      </c>
      <c r="J979">
        <f>SALESTABLE[[#This Row],[PROFIT]]/SALESTABLE[[#This Row],[Revenue]]*100</f>
        <v>29.070722433460073</v>
      </c>
    </row>
    <row r="980" spans="1:10" x14ac:dyDescent="0.35">
      <c r="A980" t="s">
        <v>1114</v>
      </c>
      <c r="B980" s="4">
        <v>45108</v>
      </c>
      <c r="C980" t="s">
        <v>90</v>
      </c>
      <c r="D980" t="s">
        <v>16</v>
      </c>
      <c r="E980">
        <v>11</v>
      </c>
      <c r="F980">
        <v>20</v>
      </c>
      <c r="G980" cm="1">
        <f t="array" ref="G980">SALESTABLE[[#This Row],[Quantity]]*_xlfn.XLOOKUP(SALESTABLE[[#This Row],[Product_ID]],ProductsTable[Product_ID],ProductsTable[Unit_Price],WAASIU,0,1)</f>
        <v>3983.8700000000003</v>
      </c>
      <c r="H980" cm="1">
        <f t="array" ref="H980">SALESTABLE[[#This Row],[Quantity]]*_xlfn.XLOOKUP(SALESTABLE[[#This Row],[Product_ID]],ProductsTable[Product_ID],ProductsTable[Cost_Price],WAASIU,0,1)</f>
        <v>2567.1799999999998</v>
      </c>
      <c r="I980">
        <f>SALESTABLE[[#This Row],[Revenue]]-SALESTABLE[[#This Row],[COST]]</f>
        <v>1416.6900000000005</v>
      </c>
      <c r="J980">
        <f>SALESTABLE[[#This Row],[PROFIT]]/SALESTABLE[[#This Row],[Revenue]]*100</f>
        <v>35.560648314327537</v>
      </c>
    </row>
    <row r="981" spans="1:10" x14ac:dyDescent="0.35">
      <c r="A981" t="s">
        <v>1115</v>
      </c>
      <c r="B981" s="4">
        <v>45002</v>
      </c>
      <c r="C981" t="s">
        <v>154</v>
      </c>
      <c r="D981" t="s">
        <v>100</v>
      </c>
      <c r="E981">
        <v>9</v>
      </c>
      <c r="F981">
        <v>20</v>
      </c>
      <c r="G981" cm="1">
        <f t="array" ref="G981">SALESTABLE[[#This Row],[Quantity]]*_xlfn.XLOOKUP(SALESTABLE[[#This Row],[Product_ID]],ProductsTable[Product_ID],ProductsTable[Unit_Price],WAASIU,0,1)</f>
        <v>3683.88</v>
      </c>
      <c r="H981" cm="1">
        <f t="array" ref="H981">SALESTABLE[[#This Row],[Quantity]]*_xlfn.XLOOKUP(SALESTABLE[[#This Row],[Product_ID]],ProductsTable[Product_ID],ProductsTable[Cost_Price],WAASIU,0,1)</f>
        <v>1913.8500000000001</v>
      </c>
      <c r="I981">
        <f>SALESTABLE[[#This Row],[Revenue]]-SALESTABLE[[#This Row],[COST]]</f>
        <v>1770.03</v>
      </c>
      <c r="J981">
        <f>SALESTABLE[[#This Row],[PROFIT]]/SALESTABLE[[#This Row],[Revenue]]*100</f>
        <v>48.047982018958265</v>
      </c>
    </row>
    <row r="982" spans="1:10" x14ac:dyDescent="0.35">
      <c r="A982" t="s">
        <v>1116</v>
      </c>
      <c r="B982" s="4">
        <v>45017</v>
      </c>
      <c r="C982" t="s">
        <v>46</v>
      </c>
      <c r="D982" t="s">
        <v>113</v>
      </c>
      <c r="E982">
        <v>17</v>
      </c>
      <c r="F982">
        <v>20</v>
      </c>
      <c r="G982" cm="1">
        <f t="array" ref="G982">SALESTABLE[[#This Row],[Quantity]]*_xlfn.XLOOKUP(SALESTABLE[[#This Row],[Product_ID]],ProductsTable[Product_ID],ProductsTable[Unit_Price],WAASIU,0,1)</f>
        <v>5730.53</v>
      </c>
      <c r="H982" cm="1">
        <f t="array" ref="H982">SALESTABLE[[#This Row],[Quantity]]*_xlfn.XLOOKUP(SALESTABLE[[#This Row],[Product_ID]],ProductsTable[Product_ID],ProductsTable[Cost_Price],WAASIU,0,1)</f>
        <v>3168.97</v>
      </c>
      <c r="I982">
        <f>SALESTABLE[[#This Row],[Revenue]]-SALESTABLE[[#This Row],[COST]]</f>
        <v>2561.56</v>
      </c>
      <c r="J982">
        <f>SALESTABLE[[#This Row],[PROFIT]]/SALESTABLE[[#This Row],[Revenue]]*100</f>
        <v>44.700228425643004</v>
      </c>
    </row>
    <row r="983" spans="1:10" x14ac:dyDescent="0.35">
      <c r="A983" t="s">
        <v>1117</v>
      </c>
      <c r="B983" s="4">
        <v>45162</v>
      </c>
      <c r="C983" t="s">
        <v>51</v>
      </c>
      <c r="D983" t="s">
        <v>13</v>
      </c>
      <c r="E983">
        <v>7</v>
      </c>
      <c r="F983">
        <v>0</v>
      </c>
      <c r="G983" cm="1">
        <f t="array" ref="G983">SALESTABLE[[#This Row],[Quantity]]*_xlfn.XLOOKUP(SALESTABLE[[#This Row],[Product_ID]],ProductsTable[Product_ID],ProductsTable[Unit_Price],WAASIU,0,1)</f>
        <v>3046.26</v>
      </c>
      <c r="H983" cm="1">
        <f t="array" ref="H983">SALESTABLE[[#This Row],[Quantity]]*_xlfn.XLOOKUP(SALESTABLE[[#This Row],[Product_ID]],ProductsTable[Product_ID],ProductsTable[Cost_Price],WAASIU,0,1)</f>
        <v>1616.6499999999999</v>
      </c>
      <c r="I983">
        <f>SALESTABLE[[#This Row],[Revenue]]-SALESTABLE[[#This Row],[COST]]</f>
        <v>1429.6100000000004</v>
      </c>
      <c r="J983">
        <f>SALESTABLE[[#This Row],[PROFIT]]/SALESTABLE[[#This Row],[Revenue]]*100</f>
        <v>46.930005974539277</v>
      </c>
    </row>
    <row r="984" spans="1:10" x14ac:dyDescent="0.35">
      <c r="A984" t="s">
        <v>1118</v>
      </c>
      <c r="B984" s="4">
        <v>45051</v>
      </c>
      <c r="C984" t="s">
        <v>257</v>
      </c>
      <c r="D984" t="s">
        <v>8</v>
      </c>
      <c r="E984">
        <v>19</v>
      </c>
      <c r="F984">
        <v>20</v>
      </c>
      <c r="G984" cm="1">
        <f t="array" ref="G984">SALESTABLE[[#This Row],[Quantity]]*_xlfn.XLOOKUP(SALESTABLE[[#This Row],[Product_ID]],ProductsTable[Product_ID],ProductsTable[Unit_Price],WAASIU,0,1)</f>
        <v>6390.08</v>
      </c>
      <c r="H984" cm="1">
        <f t="array" ref="H984">SALESTABLE[[#This Row],[Quantity]]*_xlfn.XLOOKUP(SALESTABLE[[#This Row],[Product_ID]],ProductsTable[Product_ID],ProductsTable[Cost_Price],WAASIU,0,1)</f>
        <v>4327.82</v>
      </c>
      <c r="I984">
        <f>SALESTABLE[[#This Row],[Revenue]]-SALESTABLE[[#This Row],[COST]]</f>
        <v>2062.2600000000002</v>
      </c>
      <c r="J984">
        <f>SALESTABLE[[#This Row],[PROFIT]]/SALESTABLE[[#This Row],[Revenue]]*100</f>
        <v>32.272835394862035</v>
      </c>
    </row>
    <row r="985" spans="1:10" x14ac:dyDescent="0.35">
      <c r="A985" t="s">
        <v>1119</v>
      </c>
      <c r="B985" s="4">
        <v>45035</v>
      </c>
      <c r="C985" t="s">
        <v>81</v>
      </c>
      <c r="D985" t="s">
        <v>97</v>
      </c>
      <c r="E985">
        <v>5</v>
      </c>
      <c r="F985">
        <v>20</v>
      </c>
      <c r="G985" cm="1">
        <f t="array" ref="G985">SALESTABLE[[#This Row],[Quantity]]*_xlfn.XLOOKUP(SALESTABLE[[#This Row],[Product_ID]],ProductsTable[Product_ID],ProductsTable[Unit_Price],WAASIU,0,1)</f>
        <v>1551.05</v>
      </c>
      <c r="H985" cm="1">
        <f t="array" ref="H985">SALESTABLE[[#This Row],[Quantity]]*_xlfn.XLOOKUP(SALESTABLE[[#This Row],[Product_ID]],ProductsTable[Product_ID],ProductsTable[Cost_Price],WAASIU,0,1)</f>
        <v>1126.45</v>
      </c>
      <c r="I985">
        <f>SALESTABLE[[#This Row],[Revenue]]-SALESTABLE[[#This Row],[COST]]</f>
        <v>424.59999999999991</v>
      </c>
      <c r="J985">
        <f>SALESTABLE[[#This Row],[PROFIT]]/SALESTABLE[[#This Row],[Revenue]]*100</f>
        <v>27.375004029528377</v>
      </c>
    </row>
    <row r="986" spans="1:10" x14ac:dyDescent="0.35">
      <c r="A986" t="s">
        <v>1120</v>
      </c>
      <c r="B986" s="4">
        <v>45012</v>
      </c>
      <c r="C986" t="s">
        <v>179</v>
      </c>
      <c r="D986" t="s">
        <v>127</v>
      </c>
      <c r="E986">
        <v>19</v>
      </c>
      <c r="F986">
        <v>15</v>
      </c>
      <c r="G986" cm="1">
        <f t="array" ref="G986">SALESTABLE[[#This Row],[Quantity]]*_xlfn.XLOOKUP(SALESTABLE[[#This Row],[Product_ID]],ProductsTable[Product_ID],ProductsTable[Unit_Price],WAASIU,0,1)</f>
        <v>1749.33</v>
      </c>
      <c r="H986" cm="1">
        <f t="array" ref="H986">SALESTABLE[[#This Row],[Quantity]]*_xlfn.XLOOKUP(SALESTABLE[[#This Row],[Product_ID]],ProductsTable[Product_ID],ProductsTable[Cost_Price],WAASIU,0,1)</f>
        <v>1070.8399999999999</v>
      </c>
      <c r="I986">
        <f>SALESTABLE[[#This Row],[Revenue]]-SALESTABLE[[#This Row],[COST]]</f>
        <v>678.49</v>
      </c>
      <c r="J986">
        <f>SALESTABLE[[#This Row],[PROFIT]]/SALESTABLE[[#This Row],[Revenue]]*100</f>
        <v>38.785706527642013</v>
      </c>
    </row>
    <row r="987" spans="1:10" x14ac:dyDescent="0.35">
      <c r="A987" t="s">
        <v>1121</v>
      </c>
      <c r="B987" s="4">
        <v>45618</v>
      </c>
      <c r="C987" t="s">
        <v>198</v>
      </c>
      <c r="D987" t="s">
        <v>41</v>
      </c>
      <c r="E987">
        <v>17</v>
      </c>
      <c r="F987">
        <v>0</v>
      </c>
      <c r="G987" cm="1">
        <f t="array" ref="G987">SALESTABLE[[#This Row],[Quantity]]*_xlfn.XLOOKUP(SALESTABLE[[#This Row],[Product_ID]],ProductsTable[Product_ID],ProductsTable[Unit_Price],WAASIU,0,1)</f>
        <v>7237.75</v>
      </c>
      <c r="H987" cm="1">
        <f t="array" ref="H987">SALESTABLE[[#This Row],[Quantity]]*_xlfn.XLOOKUP(SALESTABLE[[#This Row],[Product_ID]],ProductsTable[Product_ID],ProductsTable[Cost_Price],WAASIU,0,1)</f>
        <v>4133.21</v>
      </c>
      <c r="I987">
        <f>SALESTABLE[[#This Row],[Revenue]]-SALESTABLE[[#This Row],[COST]]</f>
        <v>3104.54</v>
      </c>
      <c r="J987">
        <f>SALESTABLE[[#This Row],[PROFIT]]/SALESTABLE[[#This Row],[Revenue]]*100</f>
        <v>42.89371697005285</v>
      </c>
    </row>
    <row r="988" spans="1:10" x14ac:dyDescent="0.35">
      <c r="A988" t="s">
        <v>1122</v>
      </c>
      <c r="B988" s="4">
        <v>45127</v>
      </c>
      <c r="C988" t="s">
        <v>102</v>
      </c>
      <c r="D988" t="s">
        <v>125</v>
      </c>
      <c r="E988">
        <v>13</v>
      </c>
      <c r="F988">
        <v>5</v>
      </c>
      <c r="G988" cm="1">
        <f t="array" ref="G988">SALESTABLE[[#This Row],[Quantity]]*_xlfn.XLOOKUP(SALESTABLE[[#This Row],[Product_ID]],ProductsTable[Product_ID],ProductsTable[Unit_Price],WAASIU,0,1)</f>
        <v>4351.0999999999995</v>
      </c>
      <c r="H988" cm="1">
        <f t="array" ref="H988">SALESTABLE[[#This Row],[Quantity]]*_xlfn.XLOOKUP(SALESTABLE[[#This Row],[Product_ID]],ProductsTable[Product_ID],ProductsTable[Cost_Price],WAASIU,0,1)</f>
        <v>3243.76</v>
      </c>
      <c r="I988">
        <f>SALESTABLE[[#This Row],[Revenue]]-SALESTABLE[[#This Row],[COST]]</f>
        <v>1107.3399999999992</v>
      </c>
      <c r="J988">
        <f>SALESTABLE[[#This Row],[PROFIT]]/SALESTABLE[[#This Row],[Revenue]]*100</f>
        <v>25.449656408724213</v>
      </c>
    </row>
    <row r="989" spans="1:10" x14ac:dyDescent="0.35">
      <c r="A989" t="s">
        <v>1123</v>
      </c>
      <c r="B989" s="4">
        <v>45316</v>
      </c>
      <c r="C989" t="s">
        <v>30</v>
      </c>
      <c r="D989" t="s">
        <v>97</v>
      </c>
      <c r="E989">
        <v>18</v>
      </c>
      <c r="F989">
        <v>10</v>
      </c>
      <c r="G989" cm="1">
        <f t="array" ref="G989">SALESTABLE[[#This Row],[Quantity]]*_xlfn.XLOOKUP(SALESTABLE[[#This Row],[Product_ID]],ProductsTable[Product_ID],ProductsTable[Unit_Price],WAASIU,0,1)</f>
        <v>5583.78</v>
      </c>
      <c r="H989" cm="1">
        <f t="array" ref="H989">SALESTABLE[[#This Row],[Quantity]]*_xlfn.XLOOKUP(SALESTABLE[[#This Row],[Product_ID]],ProductsTable[Product_ID],ProductsTable[Cost_Price],WAASIU,0,1)</f>
        <v>4055.22</v>
      </c>
      <c r="I989">
        <f>SALESTABLE[[#This Row],[Revenue]]-SALESTABLE[[#This Row],[COST]]</f>
        <v>1528.56</v>
      </c>
      <c r="J989">
        <f>SALESTABLE[[#This Row],[PROFIT]]/SALESTABLE[[#This Row],[Revenue]]*100</f>
        <v>27.375004029528384</v>
      </c>
    </row>
    <row r="990" spans="1:10" x14ac:dyDescent="0.35">
      <c r="A990" t="s">
        <v>1124</v>
      </c>
      <c r="B990" s="4">
        <v>45589</v>
      </c>
      <c r="C990" t="s">
        <v>229</v>
      </c>
      <c r="D990" t="s">
        <v>74</v>
      </c>
      <c r="E990">
        <v>18</v>
      </c>
      <c r="F990">
        <v>15</v>
      </c>
      <c r="G990" cm="1">
        <f t="array" ref="G990">SALESTABLE[[#This Row],[Quantity]]*_xlfn.XLOOKUP(SALESTABLE[[#This Row],[Product_ID]],ProductsTable[Product_ID],ProductsTable[Unit_Price],WAASIU,0,1)</f>
        <v>774</v>
      </c>
      <c r="H990" cm="1">
        <f t="array" ref="H990">SALESTABLE[[#This Row],[Quantity]]*_xlfn.XLOOKUP(SALESTABLE[[#This Row],[Product_ID]],ProductsTable[Product_ID],ProductsTable[Cost_Price],WAASIU,0,1)</f>
        <v>540.9</v>
      </c>
      <c r="I990">
        <f>SALESTABLE[[#This Row],[Revenue]]-SALESTABLE[[#This Row],[COST]]</f>
        <v>233.10000000000002</v>
      </c>
      <c r="J990">
        <f>SALESTABLE[[#This Row],[PROFIT]]/SALESTABLE[[#This Row],[Revenue]]*100</f>
        <v>30.116279069767444</v>
      </c>
    </row>
    <row r="991" spans="1:10" x14ac:dyDescent="0.35">
      <c r="A991" t="s">
        <v>1125</v>
      </c>
      <c r="B991" s="4">
        <v>45378</v>
      </c>
      <c r="C991" t="s">
        <v>112</v>
      </c>
      <c r="D991" t="s">
        <v>28</v>
      </c>
      <c r="E991">
        <v>16</v>
      </c>
      <c r="F991">
        <v>10</v>
      </c>
      <c r="G991" cm="1">
        <f t="array" ref="G991">SALESTABLE[[#This Row],[Quantity]]*_xlfn.XLOOKUP(SALESTABLE[[#This Row],[Product_ID]],ProductsTable[Product_ID],ProductsTable[Unit_Price],WAASIU,0,1)</f>
        <v>6807.68</v>
      </c>
      <c r="H991" cm="1">
        <f t="array" ref="H991">SALESTABLE[[#This Row],[Quantity]]*_xlfn.XLOOKUP(SALESTABLE[[#This Row],[Product_ID]],ProductsTable[Product_ID],ProductsTable[Cost_Price],WAASIU,0,1)</f>
        <v>3735.68</v>
      </c>
      <c r="I991">
        <f>SALESTABLE[[#This Row],[Revenue]]-SALESTABLE[[#This Row],[COST]]</f>
        <v>3072.0000000000005</v>
      </c>
      <c r="J991">
        <f>SALESTABLE[[#This Row],[PROFIT]]/SALESTABLE[[#This Row],[Revenue]]*100</f>
        <v>45.12550531164802</v>
      </c>
    </row>
    <row r="992" spans="1:10" x14ac:dyDescent="0.35">
      <c r="A992" t="s">
        <v>1126</v>
      </c>
      <c r="B992" s="4">
        <v>45335</v>
      </c>
      <c r="C992" t="s">
        <v>144</v>
      </c>
      <c r="D992" t="s">
        <v>13</v>
      </c>
      <c r="E992">
        <v>5</v>
      </c>
      <c r="F992">
        <v>15</v>
      </c>
      <c r="G992" cm="1">
        <f t="array" ref="G992">SALESTABLE[[#This Row],[Quantity]]*_xlfn.XLOOKUP(SALESTABLE[[#This Row],[Product_ID]],ProductsTable[Product_ID],ProductsTable[Unit_Price],WAASIU,0,1)</f>
        <v>2175.9</v>
      </c>
      <c r="H992" cm="1">
        <f t="array" ref="H992">SALESTABLE[[#This Row],[Quantity]]*_xlfn.XLOOKUP(SALESTABLE[[#This Row],[Product_ID]],ProductsTable[Product_ID],ProductsTable[Cost_Price],WAASIU,0,1)</f>
        <v>1154.75</v>
      </c>
      <c r="I992">
        <f>SALESTABLE[[#This Row],[Revenue]]-SALESTABLE[[#This Row],[COST]]</f>
        <v>1021.1500000000001</v>
      </c>
      <c r="J992">
        <f>SALESTABLE[[#This Row],[PROFIT]]/SALESTABLE[[#This Row],[Revenue]]*100</f>
        <v>46.930005974539277</v>
      </c>
    </row>
    <row r="993" spans="1:10" x14ac:dyDescent="0.35">
      <c r="A993" t="s">
        <v>1127</v>
      </c>
      <c r="B993" s="4">
        <v>45186</v>
      </c>
      <c r="C993" t="s">
        <v>118</v>
      </c>
      <c r="D993" t="s">
        <v>137</v>
      </c>
      <c r="E993">
        <v>15</v>
      </c>
      <c r="F993">
        <v>20</v>
      </c>
      <c r="G993" cm="1">
        <f t="array" ref="G993">SALESTABLE[[#This Row],[Quantity]]*_xlfn.XLOOKUP(SALESTABLE[[#This Row],[Product_ID]],ProductsTable[Product_ID],ProductsTable[Unit_Price],WAASIU,0,1)</f>
        <v>5451.6</v>
      </c>
      <c r="H993" cm="1">
        <f t="array" ref="H993">SALESTABLE[[#This Row],[Quantity]]*_xlfn.XLOOKUP(SALESTABLE[[#This Row],[Product_ID]],ProductsTable[Product_ID],ProductsTable[Cost_Price],WAASIU,0,1)</f>
        <v>3750.75</v>
      </c>
      <c r="I993">
        <f>SALESTABLE[[#This Row],[Revenue]]-SALESTABLE[[#This Row],[COST]]</f>
        <v>1700.8500000000004</v>
      </c>
      <c r="J993">
        <f>SALESTABLE[[#This Row],[PROFIT]]/SALESTABLE[[#This Row],[Revenue]]*100</f>
        <v>31.199097512656838</v>
      </c>
    </row>
    <row r="994" spans="1:10" x14ac:dyDescent="0.35">
      <c r="A994" t="s">
        <v>1128</v>
      </c>
      <c r="B994" s="4">
        <v>45353</v>
      </c>
      <c r="C994" t="s">
        <v>131</v>
      </c>
      <c r="D994" t="s">
        <v>8</v>
      </c>
      <c r="E994">
        <v>18</v>
      </c>
      <c r="F994">
        <v>15</v>
      </c>
      <c r="G994" cm="1">
        <f t="array" ref="G994">SALESTABLE[[#This Row],[Quantity]]*_xlfn.XLOOKUP(SALESTABLE[[#This Row],[Product_ID]],ProductsTable[Product_ID],ProductsTable[Unit_Price],WAASIU,0,1)</f>
        <v>6053.76</v>
      </c>
      <c r="H994" cm="1">
        <f t="array" ref="H994">SALESTABLE[[#This Row],[Quantity]]*_xlfn.XLOOKUP(SALESTABLE[[#This Row],[Product_ID]],ProductsTable[Product_ID],ProductsTable[Cost_Price],WAASIU,0,1)</f>
        <v>4100.04</v>
      </c>
      <c r="I994">
        <f>SALESTABLE[[#This Row],[Revenue]]-SALESTABLE[[#This Row],[COST]]</f>
        <v>1953.7200000000003</v>
      </c>
      <c r="J994">
        <f>SALESTABLE[[#This Row],[PROFIT]]/SALESTABLE[[#This Row],[Revenue]]*100</f>
        <v>32.272835394862035</v>
      </c>
    </row>
    <row r="995" spans="1:10" x14ac:dyDescent="0.35">
      <c r="A995" t="s">
        <v>1129</v>
      </c>
      <c r="B995" s="4">
        <v>45543</v>
      </c>
      <c r="C995" t="s">
        <v>237</v>
      </c>
      <c r="D995" t="s">
        <v>137</v>
      </c>
      <c r="E995">
        <v>14</v>
      </c>
      <c r="F995">
        <v>10</v>
      </c>
      <c r="G995" cm="1">
        <f t="array" ref="G995">SALESTABLE[[#This Row],[Quantity]]*_xlfn.XLOOKUP(SALESTABLE[[#This Row],[Product_ID]],ProductsTable[Product_ID],ProductsTable[Unit_Price],WAASIU,0,1)</f>
        <v>5088.16</v>
      </c>
      <c r="H995" cm="1">
        <f t="array" ref="H995">SALESTABLE[[#This Row],[Quantity]]*_xlfn.XLOOKUP(SALESTABLE[[#This Row],[Product_ID]],ProductsTable[Product_ID],ProductsTable[Cost_Price],WAASIU,0,1)</f>
        <v>3500.7000000000003</v>
      </c>
      <c r="I995">
        <f>SALESTABLE[[#This Row],[Revenue]]-SALESTABLE[[#This Row],[COST]]</f>
        <v>1587.4599999999996</v>
      </c>
      <c r="J995">
        <f>SALESTABLE[[#This Row],[PROFIT]]/SALESTABLE[[#This Row],[Revenue]]*100</f>
        <v>31.199097512656827</v>
      </c>
    </row>
    <row r="996" spans="1:10" x14ac:dyDescent="0.35">
      <c r="A996" t="s">
        <v>1130</v>
      </c>
      <c r="B996" s="4">
        <v>45511</v>
      </c>
      <c r="C996" t="s">
        <v>167</v>
      </c>
      <c r="D996" t="s">
        <v>34</v>
      </c>
      <c r="E996">
        <v>12</v>
      </c>
      <c r="F996">
        <v>10</v>
      </c>
      <c r="G996" cm="1">
        <f t="array" ref="G996">SALESTABLE[[#This Row],[Quantity]]*_xlfn.XLOOKUP(SALESTABLE[[#This Row],[Product_ID]],ProductsTable[Product_ID],ProductsTable[Unit_Price],WAASIU,0,1)</f>
        <v>3945</v>
      </c>
      <c r="H996" cm="1">
        <f t="array" ref="H996">SALESTABLE[[#This Row],[Quantity]]*_xlfn.XLOOKUP(SALESTABLE[[#This Row],[Product_ID]],ProductsTable[Product_ID],ProductsTable[Cost_Price],WAASIU,0,1)</f>
        <v>2798.16</v>
      </c>
      <c r="I996">
        <f>SALESTABLE[[#This Row],[Revenue]]-SALESTABLE[[#This Row],[COST]]</f>
        <v>1146.8400000000001</v>
      </c>
      <c r="J996">
        <f>SALESTABLE[[#This Row],[PROFIT]]/SALESTABLE[[#This Row],[Revenue]]*100</f>
        <v>29.070722433460077</v>
      </c>
    </row>
    <row r="997" spans="1:10" x14ac:dyDescent="0.35">
      <c r="A997" t="s">
        <v>1131</v>
      </c>
      <c r="B997" s="4">
        <v>45346</v>
      </c>
      <c r="C997" t="s">
        <v>73</v>
      </c>
      <c r="D997" t="s">
        <v>19</v>
      </c>
      <c r="E997">
        <v>2</v>
      </c>
      <c r="F997">
        <v>0</v>
      </c>
      <c r="G997" cm="1">
        <f t="array" ref="G997">SALESTABLE[[#This Row],[Quantity]]*_xlfn.XLOOKUP(SALESTABLE[[#This Row],[Product_ID]],ProductsTable[Product_ID],ProductsTable[Unit_Price],WAASIU,0,1)</f>
        <v>121.52</v>
      </c>
      <c r="H997" cm="1">
        <f t="array" ref="H997">SALESTABLE[[#This Row],[Quantity]]*_xlfn.XLOOKUP(SALESTABLE[[#This Row],[Product_ID]],ProductsTable[Product_ID],ProductsTable[Cost_Price],WAASIU,0,1)</f>
        <v>80.900000000000006</v>
      </c>
      <c r="I997">
        <f>SALESTABLE[[#This Row],[Revenue]]-SALESTABLE[[#This Row],[COST]]</f>
        <v>40.61999999999999</v>
      </c>
      <c r="J997">
        <f>SALESTABLE[[#This Row],[PROFIT]]/SALESTABLE[[#This Row],[Revenue]]*100</f>
        <v>33.426596445029617</v>
      </c>
    </row>
    <row r="998" spans="1:10" x14ac:dyDescent="0.35">
      <c r="A998" t="s">
        <v>1132</v>
      </c>
      <c r="B998" s="4">
        <v>45123</v>
      </c>
      <c r="C998" t="s">
        <v>88</v>
      </c>
      <c r="D998" t="s">
        <v>110</v>
      </c>
      <c r="E998">
        <v>13</v>
      </c>
      <c r="F998">
        <v>20</v>
      </c>
      <c r="G998" cm="1">
        <f t="array" ref="G998">SALESTABLE[[#This Row],[Quantity]]*_xlfn.XLOOKUP(SALESTABLE[[#This Row],[Product_ID]],ProductsTable[Product_ID],ProductsTable[Unit_Price],WAASIU,0,1)</f>
        <v>6387.16</v>
      </c>
      <c r="H998" cm="1">
        <f t="array" ref="H998">SALESTABLE[[#This Row],[Quantity]]*_xlfn.XLOOKUP(SALESTABLE[[#This Row],[Product_ID]],ProductsTable[Product_ID],ProductsTable[Cost_Price],WAASIU,0,1)</f>
        <v>3485.4300000000003</v>
      </c>
      <c r="I998">
        <f>SALESTABLE[[#This Row],[Revenue]]-SALESTABLE[[#This Row],[COST]]</f>
        <v>2901.7299999999996</v>
      </c>
      <c r="J998">
        <f>SALESTABLE[[#This Row],[PROFIT]]/SALESTABLE[[#This Row],[Revenue]]*100</f>
        <v>45.430676544818034</v>
      </c>
    </row>
    <row r="999" spans="1:10" x14ac:dyDescent="0.35">
      <c r="A999" t="s">
        <v>1133</v>
      </c>
      <c r="B999" s="4">
        <v>45124</v>
      </c>
      <c r="C999" t="s">
        <v>348</v>
      </c>
      <c r="D999" t="s">
        <v>34</v>
      </c>
      <c r="E999">
        <v>3</v>
      </c>
      <c r="F999">
        <v>20</v>
      </c>
      <c r="G999" cm="1">
        <f t="array" ref="G999">SALESTABLE[[#This Row],[Quantity]]*_xlfn.XLOOKUP(SALESTABLE[[#This Row],[Product_ID]],ProductsTable[Product_ID],ProductsTable[Unit_Price],WAASIU,0,1)</f>
        <v>986.25</v>
      </c>
      <c r="H999" cm="1">
        <f t="array" ref="H999">SALESTABLE[[#This Row],[Quantity]]*_xlfn.XLOOKUP(SALESTABLE[[#This Row],[Product_ID]],ProductsTable[Product_ID],ProductsTable[Cost_Price],WAASIU,0,1)</f>
        <v>699.54</v>
      </c>
      <c r="I999">
        <f>SALESTABLE[[#This Row],[Revenue]]-SALESTABLE[[#This Row],[COST]]</f>
        <v>286.71000000000004</v>
      </c>
      <c r="J999">
        <f>SALESTABLE[[#This Row],[PROFIT]]/SALESTABLE[[#This Row],[Revenue]]*100</f>
        <v>29.070722433460077</v>
      </c>
    </row>
    <row r="1000" spans="1:10" x14ac:dyDescent="0.35">
      <c r="A1000" t="s">
        <v>1134</v>
      </c>
      <c r="B1000" s="4">
        <v>45068</v>
      </c>
      <c r="C1000" t="s">
        <v>51</v>
      </c>
      <c r="D1000" t="s">
        <v>11</v>
      </c>
      <c r="E1000">
        <v>4</v>
      </c>
      <c r="F1000">
        <v>5</v>
      </c>
      <c r="G1000" cm="1">
        <f t="array" ref="G1000">SALESTABLE[[#This Row],[Quantity]]*_xlfn.XLOOKUP(SALESTABLE[[#This Row],[Product_ID]],ProductsTable[Product_ID],ProductsTable[Unit_Price],WAASIU,0,1)</f>
        <v>1909.08</v>
      </c>
      <c r="H1000" cm="1">
        <f t="array" ref="H1000">SALESTABLE[[#This Row],[Quantity]]*_xlfn.XLOOKUP(SALESTABLE[[#This Row],[Product_ID]],ProductsTable[Product_ID],ProductsTable[Cost_Price],WAASIU,0,1)</f>
        <v>1195.3599999999999</v>
      </c>
      <c r="I1000">
        <f>SALESTABLE[[#This Row],[Revenue]]-SALESTABLE[[#This Row],[COST]]</f>
        <v>713.72</v>
      </c>
      <c r="J1000">
        <f>SALESTABLE[[#This Row],[PROFIT]]/SALESTABLE[[#This Row],[Revenue]]*100</f>
        <v>37.385546965030279</v>
      </c>
    </row>
    <row r="1001" spans="1:10" x14ac:dyDescent="0.35">
      <c r="A1001" t="s">
        <v>1135</v>
      </c>
      <c r="B1001" s="4">
        <v>45110</v>
      </c>
      <c r="C1001" t="s">
        <v>96</v>
      </c>
      <c r="D1001" t="s">
        <v>28</v>
      </c>
      <c r="E1001">
        <v>8</v>
      </c>
      <c r="F1001">
        <v>5</v>
      </c>
      <c r="G1001" cm="1">
        <f t="array" ref="G1001">SALESTABLE[[#This Row],[Quantity]]*_xlfn.XLOOKUP(SALESTABLE[[#This Row],[Product_ID]],ProductsTable[Product_ID],ProductsTable[Unit_Price],WAASIU,0,1)</f>
        <v>3403.84</v>
      </c>
      <c r="H1001" cm="1">
        <f t="array" ref="H1001">SALESTABLE[[#This Row],[Quantity]]*_xlfn.XLOOKUP(SALESTABLE[[#This Row],[Product_ID]],ProductsTable[Product_ID],ProductsTable[Cost_Price],WAASIU,0,1)</f>
        <v>1867.84</v>
      </c>
      <c r="I1001">
        <f>SALESTABLE[[#This Row],[Revenue]]-SALESTABLE[[#This Row],[COST]]</f>
        <v>1536.0000000000002</v>
      </c>
      <c r="J1001">
        <f>SALESTABLE[[#This Row],[PROFIT]]/SALESTABLE[[#This Row],[Revenue]]*100</f>
        <v>45.12550531164802</v>
      </c>
    </row>
  </sheetData>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
  <sheetViews>
    <sheetView workbookViewId="0">
      <selection activeCell="H10" sqref="H10"/>
    </sheetView>
  </sheetViews>
  <sheetFormatPr defaultRowHeight="14.5" x14ac:dyDescent="0.35"/>
  <cols>
    <col min="1" max="1" width="18" customWidth="1"/>
    <col min="2" max="2" width="18.1796875" bestFit="1" customWidth="1"/>
    <col min="3" max="5" width="18" customWidth="1"/>
  </cols>
  <sheetData>
    <row r="1" spans="1:5" x14ac:dyDescent="0.35">
      <c r="A1" s="1" t="s">
        <v>2</v>
      </c>
      <c r="B1" s="1" t="s">
        <v>1136</v>
      </c>
      <c r="C1" s="1" t="s">
        <v>1137</v>
      </c>
      <c r="D1" s="1" t="s">
        <v>1138</v>
      </c>
      <c r="E1" s="1" t="s">
        <v>1139</v>
      </c>
    </row>
    <row r="2" spans="1:5" x14ac:dyDescent="0.35">
      <c r="A2" t="s">
        <v>184</v>
      </c>
      <c r="B2" t="s">
        <v>1140</v>
      </c>
      <c r="C2" t="s">
        <v>1141</v>
      </c>
      <c r="D2" t="s">
        <v>1142</v>
      </c>
      <c r="E2" s="2">
        <v>44709</v>
      </c>
    </row>
    <row r="3" spans="1:5" x14ac:dyDescent="0.35">
      <c r="A3" t="s">
        <v>129</v>
      </c>
      <c r="B3" t="s">
        <v>1143</v>
      </c>
      <c r="C3" t="s">
        <v>1144</v>
      </c>
      <c r="D3" t="s">
        <v>1145</v>
      </c>
      <c r="E3" s="2">
        <v>45471</v>
      </c>
    </row>
    <row r="4" spans="1:5" x14ac:dyDescent="0.35">
      <c r="A4" t="s">
        <v>356</v>
      </c>
      <c r="B4" t="s">
        <v>1146</v>
      </c>
      <c r="C4" t="s">
        <v>1141</v>
      </c>
      <c r="D4" t="s">
        <v>1142</v>
      </c>
      <c r="E4" s="2">
        <v>44715</v>
      </c>
    </row>
    <row r="5" spans="1:5" x14ac:dyDescent="0.35">
      <c r="A5" t="s">
        <v>245</v>
      </c>
      <c r="B5" t="s">
        <v>1147</v>
      </c>
      <c r="C5" t="s">
        <v>1141</v>
      </c>
      <c r="D5" t="s">
        <v>1148</v>
      </c>
      <c r="E5" s="2">
        <v>44768</v>
      </c>
    </row>
    <row r="6" spans="1:5" x14ac:dyDescent="0.35">
      <c r="A6" t="s">
        <v>51</v>
      </c>
      <c r="B6" t="s">
        <v>1149</v>
      </c>
      <c r="C6" t="s">
        <v>1150</v>
      </c>
      <c r="D6" t="s">
        <v>1148</v>
      </c>
      <c r="E6" s="2">
        <v>45371</v>
      </c>
    </row>
    <row r="7" spans="1:5" x14ac:dyDescent="0.35">
      <c r="A7" t="s">
        <v>174</v>
      </c>
      <c r="B7" t="s">
        <v>1151</v>
      </c>
      <c r="C7" t="s">
        <v>1141</v>
      </c>
      <c r="D7" t="s">
        <v>1142</v>
      </c>
      <c r="E7" s="2">
        <v>44833</v>
      </c>
    </row>
    <row r="8" spans="1:5" x14ac:dyDescent="0.35">
      <c r="A8" t="s">
        <v>71</v>
      </c>
      <c r="B8" t="s">
        <v>1152</v>
      </c>
      <c r="C8" t="s">
        <v>1141</v>
      </c>
      <c r="D8" t="s">
        <v>1145</v>
      </c>
      <c r="E8" s="2">
        <v>44640</v>
      </c>
    </row>
    <row r="9" spans="1:5" x14ac:dyDescent="0.35">
      <c r="A9" t="s">
        <v>79</v>
      </c>
      <c r="B9" t="s">
        <v>1153</v>
      </c>
      <c r="C9" t="s">
        <v>1150</v>
      </c>
      <c r="D9" t="s">
        <v>1148</v>
      </c>
      <c r="E9" s="2">
        <v>44806</v>
      </c>
    </row>
    <row r="10" spans="1:5" x14ac:dyDescent="0.35">
      <c r="A10" t="s">
        <v>102</v>
      </c>
      <c r="B10" t="s">
        <v>1154</v>
      </c>
      <c r="C10" t="s">
        <v>1144</v>
      </c>
      <c r="D10" t="s">
        <v>1145</v>
      </c>
      <c r="E10" s="2">
        <v>45009</v>
      </c>
    </row>
    <row r="11" spans="1:5" x14ac:dyDescent="0.35">
      <c r="A11" t="s">
        <v>181</v>
      </c>
      <c r="B11" t="s">
        <v>1155</v>
      </c>
      <c r="C11" t="s">
        <v>1156</v>
      </c>
      <c r="D11" t="s">
        <v>1142</v>
      </c>
      <c r="E11" s="2">
        <v>44637</v>
      </c>
    </row>
    <row r="12" spans="1:5" x14ac:dyDescent="0.35">
      <c r="A12" t="s">
        <v>187</v>
      </c>
      <c r="B12" t="s">
        <v>1157</v>
      </c>
      <c r="C12" t="s">
        <v>1150</v>
      </c>
      <c r="D12" t="s">
        <v>1148</v>
      </c>
      <c r="E12" s="2">
        <v>45264</v>
      </c>
    </row>
    <row r="13" spans="1:5" x14ac:dyDescent="0.35">
      <c r="A13" t="s">
        <v>190</v>
      </c>
      <c r="B13" t="s">
        <v>1158</v>
      </c>
      <c r="C13" t="s">
        <v>1144</v>
      </c>
      <c r="D13" t="s">
        <v>1145</v>
      </c>
      <c r="E13" s="2">
        <v>45027</v>
      </c>
    </row>
    <row r="14" spans="1:5" x14ac:dyDescent="0.35">
      <c r="A14" t="s">
        <v>10</v>
      </c>
      <c r="B14" t="s">
        <v>1159</v>
      </c>
      <c r="C14" t="s">
        <v>1156</v>
      </c>
      <c r="D14" t="s">
        <v>1148</v>
      </c>
      <c r="E14" s="2">
        <v>44651</v>
      </c>
    </row>
    <row r="15" spans="1:5" x14ac:dyDescent="0.35">
      <c r="A15" t="s">
        <v>144</v>
      </c>
      <c r="B15" t="s">
        <v>1160</v>
      </c>
      <c r="C15" t="s">
        <v>1141</v>
      </c>
      <c r="D15" t="s">
        <v>1142</v>
      </c>
      <c r="E15" s="2">
        <v>44676</v>
      </c>
    </row>
    <row r="16" spans="1:5" x14ac:dyDescent="0.35">
      <c r="A16" t="s">
        <v>331</v>
      </c>
      <c r="B16" t="s">
        <v>1161</v>
      </c>
      <c r="C16" t="s">
        <v>1150</v>
      </c>
      <c r="D16" t="s">
        <v>1145</v>
      </c>
      <c r="E16" s="2">
        <v>44841</v>
      </c>
    </row>
    <row r="17" spans="1:5" x14ac:dyDescent="0.35">
      <c r="A17" t="s">
        <v>65</v>
      </c>
      <c r="B17" t="s">
        <v>1162</v>
      </c>
      <c r="C17" t="s">
        <v>1144</v>
      </c>
      <c r="D17" t="s">
        <v>1142</v>
      </c>
      <c r="E17" s="2">
        <v>45151</v>
      </c>
    </row>
    <row r="18" spans="1:5" x14ac:dyDescent="0.35">
      <c r="A18" t="s">
        <v>169</v>
      </c>
      <c r="B18" t="s">
        <v>1163</v>
      </c>
      <c r="C18" t="s">
        <v>1141</v>
      </c>
      <c r="D18" t="s">
        <v>1142</v>
      </c>
      <c r="E18" s="2">
        <v>45297</v>
      </c>
    </row>
    <row r="19" spans="1:5" x14ac:dyDescent="0.35">
      <c r="A19" t="s">
        <v>602</v>
      </c>
      <c r="B19" t="s">
        <v>1164</v>
      </c>
      <c r="C19" t="s">
        <v>1141</v>
      </c>
      <c r="D19" t="s">
        <v>1145</v>
      </c>
      <c r="E19" s="2">
        <v>44572</v>
      </c>
    </row>
    <row r="20" spans="1:5" x14ac:dyDescent="0.35">
      <c r="A20" t="s">
        <v>297</v>
      </c>
      <c r="B20" t="s">
        <v>1165</v>
      </c>
      <c r="C20" t="s">
        <v>1141</v>
      </c>
      <c r="D20" t="s">
        <v>1145</v>
      </c>
      <c r="E20" s="2">
        <v>45027</v>
      </c>
    </row>
    <row r="21" spans="1:5" x14ac:dyDescent="0.35">
      <c r="A21" t="s">
        <v>149</v>
      </c>
      <c r="B21" t="s">
        <v>1166</v>
      </c>
      <c r="C21" t="s">
        <v>1141</v>
      </c>
      <c r="D21" t="s">
        <v>1142</v>
      </c>
      <c r="E21" s="2">
        <v>45341</v>
      </c>
    </row>
    <row r="22" spans="1:5" x14ac:dyDescent="0.35">
      <c r="A22" t="s">
        <v>575</v>
      </c>
      <c r="B22" t="s">
        <v>1167</v>
      </c>
      <c r="C22" t="s">
        <v>1144</v>
      </c>
      <c r="D22" t="s">
        <v>1145</v>
      </c>
      <c r="E22" s="2">
        <v>44719</v>
      </c>
    </row>
    <row r="23" spans="1:5" x14ac:dyDescent="0.35">
      <c r="A23" t="s">
        <v>392</v>
      </c>
      <c r="B23" t="s">
        <v>1168</v>
      </c>
      <c r="C23" t="s">
        <v>1144</v>
      </c>
      <c r="D23" t="s">
        <v>1142</v>
      </c>
      <c r="E23" s="2">
        <v>44709</v>
      </c>
    </row>
    <row r="24" spans="1:5" x14ac:dyDescent="0.35">
      <c r="A24" t="s">
        <v>40</v>
      </c>
      <c r="B24" t="s">
        <v>1169</v>
      </c>
      <c r="C24" t="s">
        <v>1141</v>
      </c>
      <c r="D24" t="s">
        <v>1142</v>
      </c>
      <c r="E24" s="2">
        <v>45526</v>
      </c>
    </row>
    <row r="25" spans="1:5" x14ac:dyDescent="0.35">
      <c r="A25" t="s">
        <v>104</v>
      </c>
      <c r="B25" t="s">
        <v>1170</v>
      </c>
      <c r="C25" t="s">
        <v>1141</v>
      </c>
      <c r="D25" t="s">
        <v>1142</v>
      </c>
      <c r="E25" s="2">
        <v>45321</v>
      </c>
    </row>
    <row r="26" spans="1:5" x14ac:dyDescent="0.35">
      <c r="A26" t="s">
        <v>237</v>
      </c>
      <c r="B26" t="s">
        <v>1171</v>
      </c>
      <c r="C26" t="s">
        <v>1156</v>
      </c>
      <c r="D26" t="s">
        <v>1142</v>
      </c>
      <c r="E26" s="2">
        <v>45304</v>
      </c>
    </row>
    <row r="27" spans="1:5" x14ac:dyDescent="0.35">
      <c r="A27" t="s">
        <v>270</v>
      </c>
      <c r="B27" t="s">
        <v>1172</v>
      </c>
      <c r="C27" t="s">
        <v>1141</v>
      </c>
      <c r="D27" t="s">
        <v>1148</v>
      </c>
      <c r="E27" s="2">
        <v>45354</v>
      </c>
    </row>
    <row r="28" spans="1:5" x14ac:dyDescent="0.35">
      <c r="A28" t="s">
        <v>161</v>
      </c>
      <c r="B28" t="s">
        <v>1173</v>
      </c>
      <c r="C28" t="s">
        <v>1156</v>
      </c>
      <c r="D28" t="s">
        <v>1142</v>
      </c>
      <c r="E28" s="2">
        <v>45403</v>
      </c>
    </row>
    <row r="29" spans="1:5" x14ac:dyDescent="0.35">
      <c r="A29" t="s">
        <v>7</v>
      </c>
      <c r="B29" t="s">
        <v>1174</v>
      </c>
      <c r="C29" t="s">
        <v>1150</v>
      </c>
      <c r="D29" t="s">
        <v>1148</v>
      </c>
      <c r="E29" s="2">
        <v>45314</v>
      </c>
    </row>
    <row r="30" spans="1:5" x14ac:dyDescent="0.35">
      <c r="A30" t="s">
        <v>96</v>
      </c>
      <c r="B30" t="s">
        <v>1175</v>
      </c>
      <c r="C30" t="s">
        <v>1144</v>
      </c>
      <c r="D30" t="s">
        <v>1148</v>
      </c>
      <c r="E30" s="2">
        <v>45405</v>
      </c>
    </row>
    <row r="31" spans="1:5" x14ac:dyDescent="0.35">
      <c r="A31" t="s">
        <v>229</v>
      </c>
      <c r="B31" t="s">
        <v>1176</v>
      </c>
      <c r="C31" t="s">
        <v>1156</v>
      </c>
      <c r="D31" t="s">
        <v>1145</v>
      </c>
      <c r="E31" s="2">
        <v>45009</v>
      </c>
    </row>
    <row r="32" spans="1:5" x14ac:dyDescent="0.35">
      <c r="A32" t="s">
        <v>225</v>
      </c>
      <c r="B32" t="s">
        <v>1177</v>
      </c>
      <c r="C32" t="s">
        <v>1150</v>
      </c>
      <c r="D32" t="s">
        <v>1145</v>
      </c>
      <c r="E32" s="2">
        <v>44698</v>
      </c>
    </row>
    <row r="33" spans="1:5" x14ac:dyDescent="0.35">
      <c r="A33" t="s">
        <v>18</v>
      </c>
      <c r="B33" t="s">
        <v>1178</v>
      </c>
      <c r="C33" t="s">
        <v>1144</v>
      </c>
      <c r="D33" t="s">
        <v>1142</v>
      </c>
      <c r="E33" s="2">
        <v>44818</v>
      </c>
    </row>
    <row r="34" spans="1:5" x14ac:dyDescent="0.35">
      <c r="A34" t="s">
        <v>156</v>
      </c>
      <c r="B34" t="s">
        <v>1179</v>
      </c>
      <c r="C34" t="s">
        <v>1144</v>
      </c>
      <c r="D34" t="s">
        <v>1142</v>
      </c>
      <c r="E34" s="2">
        <v>45031</v>
      </c>
    </row>
    <row r="35" spans="1:5" x14ac:dyDescent="0.35">
      <c r="A35" t="s">
        <v>99</v>
      </c>
      <c r="B35" t="s">
        <v>1180</v>
      </c>
      <c r="C35" t="s">
        <v>1141</v>
      </c>
      <c r="D35" t="s">
        <v>1142</v>
      </c>
      <c r="E35" s="2">
        <v>44570</v>
      </c>
    </row>
    <row r="36" spans="1:5" x14ac:dyDescent="0.35">
      <c r="A36" t="s">
        <v>43</v>
      </c>
      <c r="B36" t="s">
        <v>1181</v>
      </c>
      <c r="C36" t="s">
        <v>1156</v>
      </c>
      <c r="D36" t="s">
        <v>1145</v>
      </c>
      <c r="E36" s="2">
        <v>45214</v>
      </c>
    </row>
    <row r="37" spans="1:5" x14ac:dyDescent="0.35">
      <c r="A37" t="s">
        <v>257</v>
      </c>
      <c r="B37" t="s">
        <v>1182</v>
      </c>
      <c r="C37" t="s">
        <v>1156</v>
      </c>
      <c r="D37" t="s">
        <v>1145</v>
      </c>
      <c r="E37" s="2">
        <v>45326</v>
      </c>
    </row>
    <row r="38" spans="1:5" x14ac:dyDescent="0.35">
      <c r="A38" t="s">
        <v>116</v>
      </c>
      <c r="B38" t="s">
        <v>1183</v>
      </c>
      <c r="C38" t="s">
        <v>1150</v>
      </c>
      <c r="D38" t="s">
        <v>1142</v>
      </c>
      <c r="E38" s="2">
        <v>44880</v>
      </c>
    </row>
    <row r="39" spans="1:5" x14ac:dyDescent="0.35">
      <c r="A39" t="s">
        <v>352</v>
      </c>
      <c r="B39" t="s">
        <v>1184</v>
      </c>
      <c r="C39" t="s">
        <v>1144</v>
      </c>
      <c r="D39" t="s">
        <v>1145</v>
      </c>
      <c r="E39" s="2">
        <v>45407</v>
      </c>
    </row>
    <row r="40" spans="1:5" x14ac:dyDescent="0.35">
      <c r="A40" t="s">
        <v>301</v>
      </c>
      <c r="B40" t="s">
        <v>1185</v>
      </c>
      <c r="C40" t="s">
        <v>1150</v>
      </c>
      <c r="D40" t="s">
        <v>1148</v>
      </c>
      <c r="E40" s="2">
        <v>44778</v>
      </c>
    </row>
    <row r="41" spans="1:5" x14ac:dyDescent="0.35">
      <c r="A41" t="s">
        <v>284</v>
      </c>
      <c r="B41" t="s">
        <v>1186</v>
      </c>
      <c r="C41" t="s">
        <v>1141</v>
      </c>
      <c r="D41" t="s">
        <v>1142</v>
      </c>
      <c r="E41" s="2">
        <v>44634</v>
      </c>
    </row>
    <row r="42" spans="1:5" x14ac:dyDescent="0.35">
      <c r="A42" t="s">
        <v>289</v>
      </c>
      <c r="B42" t="s">
        <v>1187</v>
      </c>
      <c r="C42" t="s">
        <v>1156</v>
      </c>
      <c r="D42" t="s">
        <v>1142</v>
      </c>
      <c r="E42" s="2">
        <v>45546</v>
      </c>
    </row>
    <row r="43" spans="1:5" x14ac:dyDescent="0.35">
      <c r="A43" t="s">
        <v>159</v>
      </c>
      <c r="B43" t="s">
        <v>1188</v>
      </c>
      <c r="C43" t="s">
        <v>1141</v>
      </c>
      <c r="D43" t="s">
        <v>1145</v>
      </c>
      <c r="E43" s="2">
        <v>44994</v>
      </c>
    </row>
    <row r="44" spans="1:5" x14ac:dyDescent="0.35">
      <c r="A44" t="s">
        <v>265</v>
      </c>
      <c r="B44" t="s">
        <v>1189</v>
      </c>
      <c r="C44" t="s">
        <v>1156</v>
      </c>
      <c r="D44" t="s">
        <v>1145</v>
      </c>
      <c r="E44" s="2">
        <v>44944</v>
      </c>
    </row>
    <row r="45" spans="1:5" x14ac:dyDescent="0.35">
      <c r="A45" t="s">
        <v>167</v>
      </c>
      <c r="B45" t="s">
        <v>1190</v>
      </c>
      <c r="C45" t="s">
        <v>1156</v>
      </c>
      <c r="D45" t="s">
        <v>1148</v>
      </c>
      <c r="E45" s="2">
        <v>45251</v>
      </c>
    </row>
    <row r="46" spans="1:5" x14ac:dyDescent="0.35">
      <c r="A46" t="s">
        <v>36</v>
      </c>
      <c r="B46" t="s">
        <v>1191</v>
      </c>
      <c r="C46" t="s">
        <v>1150</v>
      </c>
      <c r="D46" t="s">
        <v>1142</v>
      </c>
      <c r="E46" s="2">
        <v>45289</v>
      </c>
    </row>
    <row r="47" spans="1:5" x14ac:dyDescent="0.35">
      <c r="A47" t="s">
        <v>311</v>
      </c>
      <c r="B47" t="s">
        <v>1192</v>
      </c>
      <c r="C47" t="s">
        <v>1141</v>
      </c>
      <c r="D47" t="s">
        <v>1145</v>
      </c>
      <c r="E47" s="2">
        <v>45364</v>
      </c>
    </row>
    <row r="48" spans="1:5" x14ac:dyDescent="0.35">
      <c r="A48" t="s">
        <v>146</v>
      </c>
      <c r="B48" t="s">
        <v>1193</v>
      </c>
      <c r="C48" t="s">
        <v>1156</v>
      </c>
      <c r="D48" t="s">
        <v>1148</v>
      </c>
      <c r="E48" s="2">
        <v>45409</v>
      </c>
    </row>
    <row r="49" spans="1:5" x14ac:dyDescent="0.35">
      <c r="A49" t="s">
        <v>193</v>
      </c>
      <c r="B49" t="s">
        <v>1194</v>
      </c>
      <c r="C49" t="s">
        <v>1150</v>
      </c>
      <c r="D49" t="s">
        <v>1142</v>
      </c>
      <c r="E49" s="2">
        <v>45048</v>
      </c>
    </row>
    <row r="50" spans="1:5" x14ac:dyDescent="0.35">
      <c r="A50" t="s">
        <v>73</v>
      </c>
      <c r="B50" t="s">
        <v>1195</v>
      </c>
      <c r="C50" t="s">
        <v>1156</v>
      </c>
      <c r="D50" t="s">
        <v>1142</v>
      </c>
      <c r="E50" s="2">
        <v>44904</v>
      </c>
    </row>
    <row r="51" spans="1:5" x14ac:dyDescent="0.35">
      <c r="A51" t="s">
        <v>292</v>
      </c>
      <c r="B51" t="s">
        <v>1196</v>
      </c>
      <c r="C51" t="s">
        <v>1150</v>
      </c>
      <c r="D51" t="s">
        <v>1142</v>
      </c>
      <c r="E51" s="2">
        <v>45435</v>
      </c>
    </row>
    <row r="52" spans="1:5" x14ac:dyDescent="0.35">
      <c r="A52" t="s">
        <v>430</v>
      </c>
      <c r="B52" t="s">
        <v>1197</v>
      </c>
      <c r="C52" t="s">
        <v>1141</v>
      </c>
      <c r="D52" t="s">
        <v>1148</v>
      </c>
      <c r="E52" s="2">
        <v>44867</v>
      </c>
    </row>
    <row r="53" spans="1:5" x14ac:dyDescent="0.35">
      <c r="A53" t="s">
        <v>61</v>
      </c>
      <c r="B53" t="s">
        <v>1198</v>
      </c>
      <c r="C53" t="s">
        <v>1150</v>
      </c>
      <c r="D53" t="s">
        <v>1148</v>
      </c>
      <c r="E53" s="2">
        <v>44952</v>
      </c>
    </row>
    <row r="54" spans="1:5" x14ac:dyDescent="0.35">
      <c r="A54" t="s">
        <v>83</v>
      </c>
      <c r="B54" t="s">
        <v>1199</v>
      </c>
      <c r="C54" t="s">
        <v>1156</v>
      </c>
      <c r="D54" t="s">
        <v>1145</v>
      </c>
      <c r="E54" s="2">
        <v>45291</v>
      </c>
    </row>
    <row r="55" spans="1:5" x14ac:dyDescent="0.35">
      <c r="A55" t="s">
        <v>21</v>
      </c>
      <c r="B55" t="s">
        <v>1200</v>
      </c>
      <c r="C55" t="s">
        <v>1156</v>
      </c>
      <c r="D55" t="s">
        <v>1142</v>
      </c>
      <c r="E55" s="2">
        <v>45096</v>
      </c>
    </row>
    <row r="56" spans="1:5" x14ac:dyDescent="0.35">
      <c r="A56" t="s">
        <v>195</v>
      </c>
      <c r="B56" t="s">
        <v>1201</v>
      </c>
      <c r="C56" t="s">
        <v>1156</v>
      </c>
      <c r="D56" t="s">
        <v>1142</v>
      </c>
      <c r="E56" s="2">
        <v>44860</v>
      </c>
    </row>
    <row r="57" spans="1:5" x14ac:dyDescent="0.35">
      <c r="A57" t="s">
        <v>76</v>
      </c>
      <c r="B57" t="s">
        <v>1202</v>
      </c>
      <c r="C57" t="s">
        <v>1150</v>
      </c>
      <c r="D57" t="s">
        <v>1148</v>
      </c>
      <c r="E57" s="2">
        <v>44927</v>
      </c>
    </row>
    <row r="58" spans="1:5" x14ac:dyDescent="0.35">
      <c r="A58" t="s">
        <v>348</v>
      </c>
      <c r="B58" t="s">
        <v>1203</v>
      </c>
      <c r="C58" t="s">
        <v>1156</v>
      </c>
      <c r="D58" t="s">
        <v>1145</v>
      </c>
      <c r="E58" s="2">
        <v>44733</v>
      </c>
    </row>
    <row r="59" spans="1:5" x14ac:dyDescent="0.35">
      <c r="A59" t="s">
        <v>223</v>
      </c>
      <c r="B59" t="s">
        <v>1204</v>
      </c>
      <c r="C59" t="s">
        <v>1144</v>
      </c>
      <c r="D59" t="s">
        <v>1145</v>
      </c>
      <c r="E59" s="2">
        <v>45046</v>
      </c>
    </row>
    <row r="60" spans="1:5" x14ac:dyDescent="0.35">
      <c r="A60" t="s">
        <v>48</v>
      </c>
      <c r="B60" t="s">
        <v>1205</v>
      </c>
      <c r="C60" t="s">
        <v>1144</v>
      </c>
      <c r="D60" t="s">
        <v>1148</v>
      </c>
      <c r="E60" s="2">
        <v>45528</v>
      </c>
    </row>
    <row r="61" spans="1:5" x14ac:dyDescent="0.35">
      <c r="A61" t="s">
        <v>171</v>
      </c>
      <c r="B61" t="s">
        <v>1206</v>
      </c>
      <c r="C61" t="s">
        <v>1156</v>
      </c>
      <c r="D61" t="s">
        <v>1148</v>
      </c>
      <c r="E61" s="2">
        <v>44797</v>
      </c>
    </row>
    <row r="62" spans="1:5" x14ac:dyDescent="0.35">
      <c r="A62" t="s">
        <v>209</v>
      </c>
      <c r="B62" t="s">
        <v>1207</v>
      </c>
      <c r="C62" t="s">
        <v>1156</v>
      </c>
      <c r="D62" t="s">
        <v>1145</v>
      </c>
      <c r="E62" s="2">
        <v>44852</v>
      </c>
    </row>
    <row r="63" spans="1:5" x14ac:dyDescent="0.35">
      <c r="A63" t="s">
        <v>131</v>
      </c>
      <c r="B63" t="s">
        <v>1208</v>
      </c>
      <c r="C63" t="s">
        <v>1156</v>
      </c>
      <c r="D63" t="s">
        <v>1148</v>
      </c>
      <c r="E63" s="2">
        <v>44967</v>
      </c>
    </row>
    <row r="64" spans="1:5" x14ac:dyDescent="0.35">
      <c r="A64" t="s">
        <v>30</v>
      </c>
      <c r="B64" t="s">
        <v>1209</v>
      </c>
      <c r="C64" t="s">
        <v>1144</v>
      </c>
      <c r="D64" t="s">
        <v>1142</v>
      </c>
      <c r="E64" s="2">
        <v>44639</v>
      </c>
    </row>
    <row r="65" spans="1:5" x14ac:dyDescent="0.35">
      <c r="A65" t="s">
        <v>120</v>
      </c>
      <c r="B65" t="s">
        <v>1210</v>
      </c>
      <c r="C65" t="s">
        <v>1150</v>
      </c>
      <c r="D65" t="s">
        <v>1148</v>
      </c>
      <c r="E65" s="2">
        <v>44881</v>
      </c>
    </row>
    <row r="66" spans="1:5" x14ac:dyDescent="0.35">
      <c r="A66" t="s">
        <v>27</v>
      </c>
      <c r="B66" t="s">
        <v>1211</v>
      </c>
      <c r="C66" t="s">
        <v>1141</v>
      </c>
      <c r="D66" t="s">
        <v>1148</v>
      </c>
      <c r="E66" s="2">
        <v>45313</v>
      </c>
    </row>
    <row r="67" spans="1:5" x14ac:dyDescent="0.35">
      <c r="A67" t="s">
        <v>165</v>
      </c>
      <c r="B67" t="s">
        <v>1212</v>
      </c>
      <c r="C67" t="s">
        <v>1156</v>
      </c>
      <c r="D67" t="s">
        <v>1142</v>
      </c>
      <c r="E67" s="2">
        <v>45299</v>
      </c>
    </row>
    <row r="68" spans="1:5" x14ac:dyDescent="0.35">
      <c r="A68" t="s">
        <v>274</v>
      </c>
      <c r="B68" t="s">
        <v>1213</v>
      </c>
      <c r="C68" t="s">
        <v>1156</v>
      </c>
      <c r="D68" t="s">
        <v>1145</v>
      </c>
      <c r="E68" s="2">
        <v>45125</v>
      </c>
    </row>
    <row r="69" spans="1:5" x14ac:dyDescent="0.35">
      <c r="A69" t="s">
        <v>118</v>
      </c>
      <c r="B69" t="s">
        <v>1214</v>
      </c>
      <c r="C69" t="s">
        <v>1141</v>
      </c>
      <c r="D69" t="s">
        <v>1142</v>
      </c>
      <c r="E69" s="2">
        <v>44594</v>
      </c>
    </row>
    <row r="70" spans="1:5" x14ac:dyDescent="0.35">
      <c r="A70" t="s">
        <v>88</v>
      </c>
      <c r="B70" t="s">
        <v>1215</v>
      </c>
      <c r="C70" t="s">
        <v>1144</v>
      </c>
      <c r="D70" t="s">
        <v>1142</v>
      </c>
      <c r="E70" s="2">
        <v>45306</v>
      </c>
    </row>
    <row r="71" spans="1:5" x14ac:dyDescent="0.35">
      <c r="A71" t="s">
        <v>15</v>
      </c>
      <c r="B71" t="s">
        <v>1216</v>
      </c>
      <c r="C71" t="s">
        <v>1141</v>
      </c>
      <c r="D71" t="s">
        <v>1142</v>
      </c>
      <c r="E71" s="2">
        <v>44809</v>
      </c>
    </row>
    <row r="72" spans="1:5" x14ac:dyDescent="0.35">
      <c r="A72" t="s">
        <v>67</v>
      </c>
      <c r="B72" t="s">
        <v>1217</v>
      </c>
      <c r="C72" t="s">
        <v>1150</v>
      </c>
      <c r="D72" t="s">
        <v>1142</v>
      </c>
      <c r="E72" s="2">
        <v>45122</v>
      </c>
    </row>
    <row r="73" spans="1:5" x14ac:dyDescent="0.35">
      <c r="A73" t="s">
        <v>251</v>
      </c>
      <c r="B73" t="s">
        <v>1218</v>
      </c>
      <c r="C73" t="s">
        <v>1144</v>
      </c>
      <c r="D73" t="s">
        <v>1145</v>
      </c>
      <c r="E73" s="2">
        <v>44970</v>
      </c>
    </row>
    <row r="74" spans="1:5" x14ac:dyDescent="0.35">
      <c r="A74" t="s">
        <v>112</v>
      </c>
      <c r="B74" t="s">
        <v>1219</v>
      </c>
      <c r="C74" t="s">
        <v>1144</v>
      </c>
      <c r="D74" t="s">
        <v>1145</v>
      </c>
      <c r="E74" s="2">
        <v>44990</v>
      </c>
    </row>
    <row r="75" spans="1:5" x14ac:dyDescent="0.35">
      <c r="A75" t="s">
        <v>24</v>
      </c>
      <c r="B75" t="s">
        <v>1220</v>
      </c>
      <c r="C75" t="s">
        <v>1144</v>
      </c>
      <c r="D75" t="s">
        <v>1145</v>
      </c>
      <c r="E75" s="2">
        <v>44835</v>
      </c>
    </row>
    <row r="76" spans="1:5" x14ac:dyDescent="0.35">
      <c r="A76" t="s">
        <v>306</v>
      </c>
      <c r="B76" t="s">
        <v>1221</v>
      </c>
      <c r="C76" t="s">
        <v>1156</v>
      </c>
      <c r="D76" t="s">
        <v>1142</v>
      </c>
      <c r="E76" s="2">
        <v>44915</v>
      </c>
    </row>
    <row r="77" spans="1:5" x14ac:dyDescent="0.35">
      <c r="A77" t="s">
        <v>81</v>
      </c>
      <c r="B77" t="s">
        <v>1222</v>
      </c>
      <c r="C77" t="s">
        <v>1156</v>
      </c>
      <c r="D77" t="s">
        <v>1148</v>
      </c>
      <c r="E77" s="2">
        <v>44848</v>
      </c>
    </row>
    <row r="78" spans="1:5" x14ac:dyDescent="0.35">
      <c r="A78" t="s">
        <v>63</v>
      </c>
      <c r="B78" t="s">
        <v>1223</v>
      </c>
      <c r="C78" t="s">
        <v>1150</v>
      </c>
      <c r="D78" t="s">
        <v>1145</v>
      </c>
      <c r="E78" s="2">
        <v>45128</v>
      </c>
    </row>
    <row r="79" spans="1:5" x14ac:dyDescent="0.35">
      <c r="A79" t="s">
        <v>122</v>
      </c>
      <c r="B79" t="s">
        <v>1224</v>
      </c>
      <c r="C79" t="s">
        <v>1141</v>
      </c>
      <c r="D79" t="s">
        <v>1145</v>
      </c>
      <c r="E79" s="2">
        <v>45055</v>
      </c>
    </row>
    <row r="80" spans="1:5" x14ac:dyDescent="0.35">
      <c r="A80" t="s">
        <v>154</v>
      </c>
      <c r="B80" t="s">
        <v>1225</v>
      </c>
      <c r="C80" t="s">
        <v>1150</v>
      </c>
      <c r="D80" t="s">
        <v>1142</v>
      </c>
      <c r="E80" s="2">
        <v>45275</v>
      </c>
    </row>
    <row r="81" spans="1:5" x14ac:dyDescent="0.35">
      <c r="A81" t="s">
        <v>304</v>
      </c>
      <c r="B81" t="s">
        <v>1226</v>
      </c>
      <c r="C81" t="s">
        <v>1150</v>
      </c>
      <c r="D81" t="s">
        <v>1148</v>
      </c>
      <c r="E81" s="2">
        <v>45194</v>
      </c>
    </row>
    <row r="82" spans="1:5" x14ac:dyDescent="0.35">
      <c r="A82" t="s">
        <v>90</v>
      </c>
      <c r="B82" t="s">
        <v>1227</v>
      </c>
      <c r="C82" t="s">
        <v>1144</v>
      </c>
      <c r="D82" t="s">
        <v>1145</v>
      </c>
      <c r="E82" s="2">
        <v>45116</v>
      </c>
    </row>
    <row r="83" spans="1:5" x14ac:dyDescent="0.35">
      <c r="A83" t="s">
        <v>294</v>
      </c>
      <c r="B83" t="s">
        <v>1228</v>
      </c>
      <c r="C83" t="s">
        <v>1150</v>
      </c>
      <c r="D83" t="s">
        <v>1148</v>
      </c>
      <c r="E83" s="2">
        <v>45019</v>
      </c>
    </row>
    <row r="84" spans="1:5" x14ac:dyDescent="0.35">
      <c r="A84" t="s">
        <v>198</v>
      </c>
      <c r="B84" t="s">
        <v>1229</v>
      </c>
      <c r="C84" t="s">
        <v>1156</v>
      </c>
      <c r="D84" t="s">
        <v>1148</v>
      </c>
      <c r="E84" s="2">
        <v>44792</v>
      </c>
    </row>
    <row r="85" spans="1:5" x14ac:dyDescent="0.35">
      <c r="A85" t="s">
        <v>179</v>
      </c>
      <c r="B85" t="s">
        <v>1230</v>
      </c>
      <c r="C85" t="s">
        <v>1156</v>
      </c>
      <c r="D85" t="s">
        <v>1148</v>
      </c>
      <c r="E85" s="2">
        <v>45060</v>
      </c>
    </row>
    <row r="86" spans="1:5" x14ac:dyDescent="0.35">
      <c r="A86" t="s">
        <v>415</v>
      </c>
      <c r="B86" t="s">
        <v>1231</v>
      </c>
      <c r="C86" t="s">
        <v>1150</v>
      </c>
      <c r="D86" t="s">
        <v>1148</v>
      </c>
      <c r="E86" s="2">
        <v>45547</v>
      </c>
    </row>
    <row r="87" spans="1:5" x14ac:dyDescent="0.35">
      <c r="A87" t="s">
        <v>46</v>
      </c>
      <c r="B87" t="s">
        <v>1232</v>
      </c>
      <c r="C87" t="s">
        <v>1141</v>
      </c>
      <c r="D87" t="s">
        <v>1142</v>
      </c>
      <c r="E87" s="2">
        <v>45072</v>
      </c>
    </row>
    <row r="88" spans="1:5" x14ac:dyDescent="0.35">
      <c r="A88" t="s">
        <v>136</v>
      </c>
      <c r="B88" t="s">
        <v>1233</v>
      </c>
      <c r="C88" t="s">
        <v>1141</v>
      </c>
      <c r="D88" t="s">
        <v>1142</v>
      </c>
      <c r="E88" s="2">
        <v>45375</v>
      </c>
    </row>
    <row r="89" spans="1:5" x14ac:dyDescent="0.35">
      <c r="A89" t="s">
        <v>142</v>
      </c>
      <c r="B89" t="s">
        <v>1234</v>
      </c>
      <c r="C89" t="s">
        <v>1150</v>
      </c>
      <c r="D89" t="s">
        <v>1148</v>
      </c>
      <c r="E89" s="2">
        <v>44617</v>
      </c>
    </row>
    <row r="90" spans="1:5" x14ac:dyDescent="0.35">
      <c r="A90" t="s">
        <v>33</v>
      </c>
      <c r="B90" t="s">
        <v>1235</v>
      </c>
      <c r="C90" t="s">
        <v>1144</v>
      </c>
      <c r="D90" t="s">
        <v>1142</v>
      </c>
      <c r="E90" s="2">
        <v>45474</v>
      </c>
    </row>
    <row r="91" spans="1:5" x14ac:dyDescent="0.35">
      <c r="A91" t="s">
        <v>38</v>
      </c>
      <c r="B91" t="s">
        <v>1236</v>
      </c>
      <c r="C91" t="s">
        <v>1156</v>
      </c>
      <c r="D91" t="s">
        <v>1145</v>
      </c>
      <c r="E91" s="2">
        <v>45348</v>
      </c>
    </row>
    <row r="92" spans="1:5" x14ac:dyDescent="0.35">
      <c r="A92" t="s">
        <v>106</v>
      </c>
      <c r="B92" t="s">
        <v>1237</v>
      </c>
      <c r="C92" t="s">
        <v>1141</v>
      </c>
      <c r="D92" t="s">
        <v>1142</v>
      </c>
      <c r="E92" s="2">
        <v>45060</v>
      </c>
    </row>
    <row r="93" spans="1:5" x14ac:dyDescent="0.35">
      <c r="A93" t="s">
        <v>59</v>
      </c>
      <c r="B93" t="s">
        <v>1238</v>
      </c>
      <c r="C93" t="s">
        <v>1156</v>
      </c>
      <c r="D93" t="s">
        <v>1148</v>
      </c>
      <c r="E93" s="2">
        <v>44798</v>
      </c>
    </row>
    <row r="94" spans="1:5" x14ac:dyDescent="0.35">
      <c r="A94" t="s">
        <v>177</v>
      </c>
      <c r="B94" t="s">
        <v>1239</v>
      </c>
      <c r="C94" t="s">
        <v>1150</v>
      </c>
      <c r="D94" t="s">
        <v>1142</v>
      </c>
      <c r="E94" s="2">
        <v>45324</v>
      </c>
    </row>
    <row r="95" spans="1:5" x14ac:dyDescent="0.35">
      <c r="A95" t="s">
        <v>69</v>
      </c>
      <c r="B95" t="s">
        <v>1240</v>
      </c>
      <c r="C95" t="s">
        <v>1156</v>
      </c>
      <c r="D95" t="s">
        <v>1145</v>
      </c>
      <c r="E95" s="2">
        <v>45309</v>
      </c>
    </row>
    <row r="96" spans="1:5" x14ac:dyDescent="0.35">
      <c r="A96" t="s">
        <v>92</v>
      </c>
      <c r="B96" t="s">
        <v>1241</v>
      </c>
      <c r="C96" t="s">
        <v>1150</v>
      </c>
      <c r="D96" t="s">
        <v>1145</v>
      </c>
      <c r="E96" s="2">
        <v>44708</v>
      </c>
    </row>
    <row r="97" spans="1:5" x14ac:dyDescent="0.35">
      <c r="A97" t="s">
        <v>54</v>
      </c>
      <c r="B97" t="s">
        <v>1242</v>
      </c>
      <c r="C97" t="s">
        <v>1156</v>
      </c>
      <c r="D97" t="s">
        <v>1142</v>
      </c>
      <c r="E97" s="2">
        <v>45440</v>
      </c>
    </row>
    <row r="98" spans="1:5" x14ac:dyDescent="0.35">
      <c r="A98" t="s">
        <v>247</v>
      </c>
      <c r="B98" t="s">
        <v>1243</v>
      </c>
      <c r="C98" t="s">
        <v>1144</v>
      </c>
      <c r="D98" t="s">
        <v>1145</v>
      </c>
      <c r="E98" s="2">
        <v>45260</v>
      </c>
    </row>
    <row r="99" spans="1:5" x14ac:dyDescent="0.35">
      <c r="A99" t="s">
        <v>318</v>
      </c>
      <c r="B99" t="s">
        <v>1244</v>
      </c>
      <c r="C99" t="s">
        <v>1141</v>
      </c>
      <c r="D99" t="s">
        <v>1145</v>
      </c>
      <c r="E99" s="2">
        <v>44871</v>
      </c>
    </row>
    <row r="100" spans="1:5" x14ac:dyDescent="0.35">
      <c r="A100" t="s">
        <v>86</v>
      </c>
      <c r="B100" t="s">
        <v>1245</v>
      </c>
      <c r="C100" t="s">
        <v>1141</v>
      </c>
      <c r="D100" t="s">
        <v>1148</v>
      </c>
      <c r="E100" s="2">
        <v>44692</v>
      </c>
    </row>
    <row r="101" spans="1:5" x14ac:dyDescent="0.35">
      <c r="A101" t="s">
        <v>366</v>
      </c>
      <c r="B101" t="s">
        <v>1246</v>
      </c>
      <c r="C101" t="s">
        <v>1141</v>
      </c>
      <c r="D101" t="s">
        <v>1148</v>
      </c>
      <c r="E101" s="2">
        <v>44610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workbookViewId="0">
      <selection activeCell="B9" sqref="B9"/>
    </sheetView>
  </sheetViews>
  <sheetFormatPr defaultRowHeight="14.5" x14ac:dyDescent="0.35"/>
  <cols>
    <col min="1" max="5" width="18" customWidth="1"/>
  </cols>
  <sheetData>
    <row r="1" spans="1:5" x14ac:dyDescent="0.35">
      <c r="A1" s="1" t="s">
        <v>3</v>
      </c>
      <c r="B1" s="1" t="s">
        <v>1247</v>
      </c>
      <c r="C1" s="1" t="s">
        <v>1248</v>
      </c>
      <c r="D1" s="1" t="s">
        <v>1249</v>
      </c>
      <c r="E1" s="1" t="s">
        <v>1250</v>
      </c>
    </row>
    <row r="2" spans="1:5" x14ac:dyDescent="0.35">
      <c r="A2" t="s">
        <v>49</v>
      </c>
      <c r="B2" t="s">
        <v>1251</v>
      </c>
      <c r="C2" t="s">
        <v>1252</v>
      </c>
      <c r="D2">
        <v>229.63</v>
      </c>
      <c r="E2">
        <v>131.41999999999999</v>
      </c>
    </row>
    <row r="3" spans="1:5" x14ac:dyDescent="0.35">
      <c r="A3" t="s">
        <v>34</v>
      </c>
      <c r="B3" t="s">
        <v>1253</v>
      </c>
      <c r="C3" t="s">
        <v>1254</v>
      </c>
      <c r="D3">
        <v>328.75</v>
      </c>
      <c r="E3">
        <v>233.18</v>
      </c>
    </row>
    <row r="4" spans="1:5" x14ac:dyDescent="0.35">
      <c r="A4" t="s">
        <v>77</v>
      </c>
      <c r="B4" t="s">
        <v>1255</v>
      </c>
      <c r="C4" t="s">
        <v>1256</v>
      </c>
      <c r="D4">
        <v>91.8</v>
      </c>
      <c r="E4">
        <v>48.97</v>
      </c>
    </row>
    <row r="5" spans="1:5" x14ac:dyDescent="0.35">
      <c r="A5" t="s">
        <v>44</v>
      </c>
      <c r="B5" t="s">
        <v>1257</v>
      </c>
      <c r="C5" t="s">
        <v>1252</v>
      </c>
      <c r="D5">
        <v>134.19</v>
      </c>
      <c r="E5">
        <v>83.32</v>
      </c>
    </row>
    <row r="6" spans="1:5" x14ac:dyDescent="0.35">
      <c r="A6" t="s">
        <v>100</v>
      </c>
      <c r="B6" t="s">
        <v>1258</v>
      </c>
      <c r="C6" t="s">
        <v>1259</v>
      </c>
      <c r="D6">
        <v>409.32</v>
      </c>
      <c r="E6">
        <v>212.65</v>
      </c>
    </row>
    <row r="7" spans="1:5" x14ac:dyDescent="0.35">
      <c r="A7" t="s">
        <v>110</v>
      </c>
      <c r="B7" t="s">
        <v>1260</v>
      </c>
      <c r="C7" t="s">
        <v>1256</v>
      </c>
      <c r="D7">
        <v>491.32</v>
      </c>
      <c r="E7">
        <v>268.11</v>
      </c>
    </row>
    <row r="8" spans="1:5" x14ac:dyDescent="0.35">
      <c r="A8" t="s">
        <v>8</v>
      </c>
      <c r="B8" t="s">
        <v>1261</v>
      </c>
      <c r="C8" t="s">
        <v>1252</v>
      </c>
      <c r="D8">
        <v>336.32</v>
      </c>
      <c r="E8">
        <v>227.78</v>
      </c>
    </row>
    <row r="9" spans="1:5" x14ac:dyDescent="0.35">
      <c r="A9" t="s">
        <v>22</v>
      </c>
      <c r="B9" t="s">
        <v>1262</v>
      </c>
      <c r="C9" t="s">
        <v>1252</v>
      </c>
      <c r="D9">
        <v>419.67</v>
      </c>
      <c r="E9">
        <v>213.42</v>
      </c>
    </row>
    <row r="10" spans="1:5" x14ac:dyDescent="0.35">
      <c r="A10" t="s">
        <v>16</v>
      </c>
      <c r="B10" t="s">
        <v>1263</v>
      </c>
      <c r="C10" t="s">
        <v>1252</v>
      </c>
      <c r="D10">
        <v>362.17</v>
      </c>
      <c r="E10">
        <v>233.38</v>
      </c>
    </row>
    <row r="11" spans="1:5" x14ac:dyDescent="0.35">
      <c r="A11" t="s">
        <v>84</v>
      </c>
      <c r="B11" t="s">
        <v>1264</v>
      </c>
      <c r="C11" t="s">
        <v>1259</v>
      </c>
      <c r="D11">
        <v>268.89999999999998</v>
      </c>
      <c r="E11">
        <v>155.86000000000001</v>
      </c>
    </row>
    <row r="12" spans="1:5" x14ac:dyDescent="0.35">
      <c r="A12" t="s">
        <v>127</v>
      </c>
      <c r="B12" t="s">
        <v>1265</v>
      </c>
      <c r="C12" t="s">
        <v>1256</v>
      </c>
      <c r="D12">
        <v>92.07</v>
      </c>
      <c r="E12">
        <v>56.36</v>
      </c>
    </row>
    <row r="13" spans="1:5" x14ac:dyDescent="0.35">
      <c r="A13" t="s">
        <v>137</v>
      </c>
      <c r="B13" t="s">
        <v>1266</v>
      </c>
      <c r="C13" t="s">
        <v>1254</v>
      </c>
      <c r="D13">
        <v>363.44</v>
      </c>
      <c r="E13">
        <v>250.05</v>
      </c>
    </row>
    <row r="14" spans="1:5" x14ac:dyDescent="0.35">
      <c r="A14" t="s">
        <v>139</v>
      </c>
      <c r="B14" t="s">
        <v>1267</v>
      </c>
      <c r="C14" t="s">
        <v>1252</v>
      </c>
      <c r="D14">
        <v>457.11</v>
      </c>
      <c r="E14">
        <v>327.52</v>
      </c>
    </row>
    <row r="15" spans="1:5" x14ac:dyDescent="0.35">
      <c r="A15" t="s">
        <v>57</v>
      </c>
      <c r="B15" t="s">
        <v>1268</v>
      </c>
      <c r="C15" t="s">
        <v>1259</v>
      </c>
      <c r="D15">
        <v>158.83000000000001</v>
      </c>
      <c r="E15">
        <v>126.94</v>
      </c>
    </row>
    <row r="16" spans="1:5" x14ac:dyDescent="0.35">
      <c r="A16" t="s">
        <v>248</v>
      </c>
      <c r="B16" t="s">
        <v>1269</v>
      </c>
      <c r="C16" t="s">
        <v>1259</v>
      </c>
      <c r="D16">
        <v>186.71</v>
      </c>
      <c r="E16">
        <v>125.19</v>
      </c>
    </row>
    <row r="17" spans="1:5" x14ac:dyDescent="0.35">
      <c r="A17" t="s">
        <v>113</v>
      </c>
      <c r="B17" t="s">
        <v>1270</v>
      </c>
      <c r="C17" t="s">
        <v>1259</v>
      </c>
      <c r="D17">
        <v>337.09</v>
      </c>
      <c r="E17">
        <v>186.41</v>
      </c>
    </row>
    <row r="18" spans="1:5" x14ac:dyDescent="0.35">
      <c r="A18" t="s">
        <v>11</v>
      </c>
      <c r="B18" t="s">
        <v>1271</v>
      </c>
      <c r="C18" t="s">
        <v>1259</v>
      </c>
      <c r="D18">
        <v>477.27</v>
      </c>
      <c r="E18">
        <v>298.83999999999997</v>
      </c>
    </row>
    <row r="19" spans="1:5" x14ac:dyDescent="0.35">
      <c r="A19" t="s">
        <v>107</v>
      </c>
      <c r="B19" t="s">
        <v>1272</v>
      </c>
      <c r="C19" t="s">
        <v>1259</v>
      </c>
      <c r="D19">
        <v>65.010000000000005</v>
      </c>
      <c r="E19">
        <v>36.83</v>
      </c>
    </row>
    <row r="20" spans="1:5" x14ac:dyDescent="0.35">
      <c r="A20" t="s">
        <v>13</v>
      </c>
      <c r="B20" t="s">
        <v>1273</v>
      </c>
      <c r="C20" t="s">
        <v>1252</v>
      </c>
      <c r="D20">
        <v>435.18</v>
      </c>
      <c r="E20">
        <v>230.95</v>
      </c>
    </row>
    <row r="21" spans="1:5" x14ac:dyDescent="0.35">
      <c r="A21" t="s">
        <v>25</v>
      </c>
      <c r="B21" t="s">
        <v>1274</v>
      </c>
      <c r="C21" t="s">
        <v>1259</v>
      </c>
      <c r="D21">
        <v>177.76</v>
      </c>
      <c r="E21">
        <v>91.88</v>
      </c>
    </row>
    <row r="22" spans="1:5" x14ac:dyDescent="0.35">
      <c r="A22" t="s">
        <v>19</v>
      </c>
      <c r="B22" t="s">
        <v>1275</v>
      </c>
      <c r="C22" t="s">
        <v>1259</v>
      </c>
      <c r="D22">
        <v>60.76</v>
      </c>
      <c r="E22">
        <v>40.450000000000003</v>
      </c>
    </row>
    <row r="23" spans="1:5" x14ac:dyDescent="0.35">
      <c r="A23" t="s">
        <v>125</v>
      </c>
      <c r="B23" t="s">
        <v>1276</v>
      </c>
      <c r="C23" t="s">
        <v>1252</v>
      </c>
      <c r="D23">
        <v>334.7</v>
      </c>
      <c r="E23">
        <v>249.52</v>
      </c>
    </row>
    <row r="24" spans="1:5" x14ac:dyDescent="0.35">
      <c r="A24" t="s">
        <v>133</v>
      </c>
      <c r="B24" t="s">
        <v>1277</v>
      </c>
      <c r="C24" t="s">
        <v>1252</v>
      </c>
      <c r="D24">
        <v>351</v>
      </c>
      <c r="E24">
        <v>233.63</v>
      </c>
    </row>
    <row r="25" spans="1:5" x14ac:dyDescent="0.35">
      <c r="A25" t="s">
        <v>31</v>
      </c>
      <c r="B25" t="s">
        <v>1278</v>
      </c>
      <c r="C25" t="s">
        <v>1254</v>
      </c>
      <c r="D25">
        <v>173.14</v>
      </c>
      <c r="E25">
        <v>100.29</v>
      </c>
    </row>
    <row r="26" spans="1:5" x14ac:dyDescent="0.35">
      <c r="A26" t="s">
        <v>41</v>
      </c>
      <c r="B26" t="s">
        <v>1279</v>
      </c>
      <c r="C26" t="s">
        <v>1259</v>
      </c>
      <c r="D26">
        <v>425.75</v>
      </c>
      <c r="E26">
        <v>243.13</v>
      </c>
    </row>
    <row r="27" spans="1:5" x14ac:dyDescent="0.35">
      <c r="A27" t="s">
        <v>74</v>
      </c>
      <c r="B27" t="s">
        <v>1280</v>
      </c>
      <c r="C27" t="s">
        <v>1252</v>
      </c>
      <c r="D27">
        <v>43</v>
      </c>
      <c r="E27">
        <v>30.05</v>
      </c>
    </row>
    <row r="28" spans="1:5" x14ac:dyDescent="0.35">
      <c r="A28" t="s">
        <v>52</v>
      </c>
      <c r="B28" t="s">
        <v>1281</v>
      </c>
      <c r="C28" t="s">
        <v>1254</v>
      </c>
      <c r="D28">
        <v>183.78</v>
      </c>
      <c r="E28">
        <v>115.63</v>
      </c>
    </row>
    <row r="29" spans="1:5" x14ac:dyDescent="0.35">
      <c r="A29" t="s">
        <v>97</v>
      </c>
      <c r="B29" t="s">
        <v>1282</v>
      </c>
      <c r="C29" t="s">
        <v>1259</v>
      </c>
      <c r="D29">
        <v>310.20999999999998</v>
      </c>
      <c r="E29">
        <v>225.29</v>
      </c>
    </row>
    <row r="30" spans="1:5" x14ac:dyDescent="0.35">
      <c r="A30" t="s">
        <v>28</v>
      </c>
      <c r="B30" t="s">
        <v>1283</v>
      </c>
      <c r="C30" t="s">
        <v>1252</v>
      </c>
      <c r="D30">
        <v>425.48</v>
      </c>
      <c r="E30">
        <v>233.48</v>
      </c>
    </row>
    <row r="31" spans="1:5" x14ac:dyDescent="0.35">
      <c r="A31" t="s">
        <v>93</v>
      </c>
      <c r="B31" t="s">
        <v>1284</v>
      </c>
      <c r="C31" t="s">
        <v>1254</v>
      </c>
      <c r="D31">
        <v>214.03</v>
      </c>
      <c r="E31">
        <v>156.71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selection activeCell="C17" sqref="C17"/>
    </sheetView>
  </sheetViews>
  <sheetFormatPr defaultRowHeight="14.5" x14ac:dyDescent="0.35"/>
  <cols>
    <col min="1" max="1" width="30" customWidth="1"/>
    <col min="2" max="2" width="76.81640625" customWidth="1"/>
    <col min="3" max="3" width="46.7265625" customWidth="1"/>
    <col min="4" max="4" width="30" customWidth="1"/>
  </cols>
  <sheetData>
    <row r="1" spans="1:4" x14ac:dyDescent="0.35">
      <c r="A1" s="1" t="s">
        <v>1285</v>
      </c>
      <c r="B1" s="1" t="s">
        <v>1286</v>
      </c>
      <c r="C1" s="1" t="s">
        <v>1287</v>
      </c>
      <c r="D1" s="1" t="s">
        <v>1288</v>
      </c>
    </row>
    <row r="2" spans="1:4" x14ac:dyDescent="0.35">
      <c r="A2" t="s">
        <v>1289</v>
      </c>
      <c r="B2" t="s">
        <v>1290</v>
      </c>
      <c r="C2" t="s">
        <v>1291</v>
      </c>
      <c r="D2" t="s">
        <v>1292</v>
      </c>
    </row>
    <row r="3" spans="1:4" x14ac:dyDescent="0.35">
      <c r="A3" t="s">
        <v>1293</v>
      </c>
      <c r="B3" t="s">
        <v>1294</v>
      </c>
      <c r="C3" t="s">
        <v>1295</v>
      </c>
      <c r="D3" t="s">
        <v>1292</v>
      </c>
    </row>
    <row r="4" spans="1:4" x14ac:dyDescent="0.35">
      <c r="A4" t="s">
        <v>1296</v>
      </c>
      <c r="B4" t="s">
        <v>1297</v>
      </c>
      <c r="C4" t="s">
        <v>1298</v>
      </c>
      <c r="D4" t="s">
        <v>1292</v>
      </c>
    </row>
    <row r="5" spans="1:4" x14ac:dyDescent="0.35">
      <c r="A5" t="s">
        <v>1299</v>
      </c>
      <c r="B5" t="s">
        <v>1300</v>
      </c>
      <c r="C5" t="s">
        <v>1301</v>
      </c>
      <c r="D5" t="s">
        <v>1292</v>
      </c>
    </row>
    <row r="6" spans="1:4" x14ac:dyDescent="0.35">
      <c r="A6" t="s">
        <v>1302</v>
      </c>
      <c r="B6" t="s">
        <v>1303</v>
      </c>
      <c r="C6" t="s">
        <v>1304</v>
      </c>
      <c r="D6" t="s">
        <v>1292</v>
      </c>
    </row>
    <row r="7" spans="1:4" x14ac:dyDescent="0.35">
      <c r="A7" t="s">
        <v>1305</v>
      </c>
      <c r="B7" t="s">
        <v>1306</v>
      </c>
      <c r="C7" t="s">
        <v>1307</v>
      </c>
      <c r="D7" t="s">
        <v>1292</v>
      </c>
    </row>
    <row r="8" spans="1:4" x14ac:dyDescent="0.35">
      <c r="A8" t="s">
        <v>1308</v>
      </c>
      <c r="B8" t="s">
        <v>1309</v>
      </c>
      <c r="C8" t="s">
        <v>1310</v>
      </c>
      <c r="D8" t="s">
        <v>1292</v>
      </c>
    </row>
    <row r="12" spans="1:4" x14ac:dyDescent="0.35">
      <c r="A12" t="s">
        <v>1311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19A3E375-D970-4C69-B782-E5275357B403}">
  <ds:schemaRefs/>
</ds:datastoreItem>
</file>

<file path=customXml/itemProps2.xml><?xml version="1.0" encoding="utf-8"?>
<ds:datastoreItem xmlns:ds="http://schemas.openxmlformats.org/officeDocument/2006/customXml" ds:itemID="{C07827FD-FBC0-4A0D-9F6E-6DFEE923DBC3}">
  <ds:schemaRefs/>
</ds:datastoreItem>
</file>

<file path=customXml/itemProps3.xml><?xml version="1.0" encoding="utf-8"?>
<ds:datastoreItem xmlns:ds="http://schemas.openxmlformats.org/officeDocument/2006/customXml" ds:itemID="{DDB6FEFD-E1A0-42C7-98F4-217F2C502824}">
  <ds:schemaRefs/>
</ds:datastoreItem>
</file>

<file path=customXml/itemProps4.xml><?xml version="1.0" encoding="utf-8"?>
<ds:datastoreItem xmlns:ds="http://schemas.openxmlformats.org/officeDocument/2006/customXml" ds:itemID="{DF9864AF-B61C-4848-9A94-2FCBC4223607}">
  <ds:schemaRefs/>
</ds:datastoreItem>
</file>

<file path=customXml/itemProps5.xml><?xml version="1.0" encoding="utf-8"?>
<ds:datastoreItem xmlns:ds="http://schemas.openxmlformats.org/officeDocument/2006/customXml" ds:itemID="{1E8AE347-BD51-469E-BA9D-1B585415517A}">
  <ds:schemaRefs/>
</ds:datastoreItem>
</file>

<file path=customXml/itemProps6.xml><?xml version="1.0" encoding="utf-8"?>
<ds:datastoreItem xmlns:ds="http://schemas.openxmlformats.org/officeDocument/2006/customXml" ds:itemID="{7448B847-6207-4A99-B033-E6FD4DAF818F}">
  <ds:schemaRefs/>
</ds:datastoreItem>
</file>

<file path=customXml/itemProps7.xml><?xml version="1.0" encoding="utf-8"?>
<ds:datastoreItem xmlns:ds="http://schemas.openxmlformats.org/officeDocument/2006/customXml" ds:itemID="{4AE30269-2108-4B21-A25E-E646051399A5}">
  <ds:schemaRefs/>
</ds:datastoreItem>
</file>

<file path=customXml/itemProps8.xml><?xml version="1.0" encoding="utf-8"?>
<ds:datastoreItem xmlns:ds="http://schemas.openxmlformats.org/officeDocument/2006/customXml" ds:itemID="{8CC6D6E7-2FB1-408B-A0D4-A13F28F27FDD}">
  <ds:schemaRefs/>
</ds:datastoreItem>
</file>

<file path=customXml/itemProps9.xml><?xml version="1.0" encoding="utf-8"?>
<ds:datastoreItem xmlns:ds="http://schemas.openxmlformats.org/officeDocument/2006/customXml" ds:itemID="{AE94F50D-3AC9-448E-B7DD-9C5D7FF767B8}">
  <ds:schemaRefs/>
</ds:datastoreItem>
</file>

<file path=customXml/itemProps10.xml><?xml version="1.0" encoding="utf-8"?>
<ds:datastoreItem xmlns:ds="http://schemas.openxmlformats.org/officeDocument/2006/customXml" ds:itemID="{5DE55378-9CB4-47EA-881A-50662646A554}">
  <ds:schemaRefs/>
</ds:datastoreItem>
</file>

<file path=customXml/itemProps11.xml><?xml version="1.0" encoding="utf-8"?>
<ds:datastoreItem xmlns:ds="http://schemas.openxmlformats.org/officeDocument/2006/customXml" ds:itemID="{BA9E60E4-9D38-4288-9DBE-529CFAF07165}">
  <ds:schemaRefs/>
</ds:datastoreItem>
</file>

<file path=customXml/itemProps12.xml><?xml version="1.0" encoding="utf-8"?>
<ds:datastoreItem xmlns:ds="http://schemas.openxmlformats.org/officeDocument/2006/customXml" ds:itemID="{FB4F34F7-6648-4156-B192-F525E61F2C84}">
  <ds:schemaRefs/>
</ds:datastoreItem>
</file>

<file path=customXml/itemProps13.xml><?xml version="1.0" encoding="utf-8"?>
<ds:datastoreItem xmlns:ds="http://schemas.openxmlformats.org/officeDocument/2006/customXml" ds:itemID="{03F869DC-443B-4D88-8533-E201C6027641}">
  <ds:schemaRefs/>
</ds:datastoreItem>
</file>

<file path=customXml/itemProps14.xml><?xml version="1.0" encoding="utf-8"?>
<ds:datastoreItem xmlns:ds="http://schemas.openxmlformats.org/officeDocument/2006/customXml" ds:itemID="{E8AA43EC-F2A1-4C4A-BA5B-101DEC38CA40}">
  <ds:schemaRefs/>
</ds:datastoreItem>
</file>

<file path=customXml/itemProps15.xml><?xml version="1.0" encoding="utf-8"?>
<ds:datastoreItem xmlns:ds="http://schemas.openxmlformats.org/officeDocument/2006/customXml" ds:itemID="{3EE88A73-F868-4A73-AC74-14BE6928B06E}">
  <ds:schemaRefs/>
</ds:datastoreItem>
</file>

<file path=customXml/itemProps16.xml><?xml version="1.0" encoding="utf-8"?>
<ds:datastoreItem xmlns:ds="http://schemas.openxmlformats.org/officeDocument/2006/customXml" ds:itemID="{D4B6C00C-51CF-49BC-B400-30F95BB423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Dashboard</vt:lpstr>
      <vt:lpstr>Sales_Data</vt:lpstr>
      <vt:lpstr>Customers</vt:lpstr>
      <vt:lpstr>Products</vt:lpstr>
      <vt:lpstr>Tasks_and_Milestones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Najart umar</cp:lastModifiedBy>
  <cp:revision/>
  <dcterms:created xsi:type="dcterms:W3CDTF">2026-02-18T12:48:31Z</dcterms:created>
  <dcterms:modified xsi:type="dcterms:W3CDTF">2026-06-29T06:55:30Z</dcterms:modified>
  <cp:category/>
  <cp:contentStatus/>
</cp:coreProperties>
</file>